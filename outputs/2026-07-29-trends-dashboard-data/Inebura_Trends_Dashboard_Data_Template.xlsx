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dce2f11e3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678d0907f944fc"/>
    <x:sheet xmlns:r="http://schemas.openxmlformats.org/officeDocument/2006/relationships" name="AR_Trend_Data" sheetId="2" r:id="Rda02894a202d4ad1"/>
    <x:sheet xmlns:r="http://schemas.openxmlformats.org/officeDocument/2006/relationships" name="Visit_Data" sheetId="3" r:id="R65e26915a5954e02"/>
    <x:sheet xmlns:r="http://schemas.openxmlformats.org/officeDocument/2006/relationships" name="Submission_Data" sheetId="4" r:id="Rdf0430daa2824bb0"/>
    <x:sheet xmlns:r="http://schemas.openxmlformats.org/officeDocument/2006/relationships" name="Chart_Field_Map" sheetId="5" r:id="R4a75350e6af44794"/>
    <x:sheet xmlns:r="http://schemas.openxmlformats.org/officeDocument/2006/relationships" name="Lists" sheetId="6" r:id="R4bd7dbda6f294525"/>
    <x:sheet xmlns:r="http://schemas.openxmlformats.org/officeDocument/2006/relationships" name="Checks" sheetId="7" r:id="R1a80d09bf444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1"/>
      <x:color rgb="FF3B0A78"/>
      <x:name val="Carlito"/>
    </x:font>
    <x:font>
      <x:i/>
      <x:sz val="11"/>
      <x:color rgb="FF64748B"/>
      <x:name val="Carlito"/>
    </x:font>
    <x:font>
      <x:i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0A78"/>
      </x:patternFill>
    </x:fill>
    <x:fill>
      <x:patternFill patternType="solid">
        <x:fgColor rgb="FFF1E8FB"/>
      </x:patternFill>
    </x:fill>
    <x:fill>
      <x:patternFill patternType="solid">
        <x:fgColor rgb="FF172033"/>
      </x:patternFill>
    </x:fill>
    <x:fill>
      <x:patternFill patternType="solid">
        <x:fgColor rgb="FF5C258D"/>
      </x:patternFill>
    </x:fill>
    <x:fill>
      <x:patternFill patternType="solid">
        <x:fgColor rgb="FFEEF6FF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7E50A6"/>
      </x:left>
      <x:right style="thin">
        <x:color rgb="FF7E50A6"/>
      </x:right>
      <x:top style="thin">
        <x:color rgb="FF7E50A6"/>
      </x:top>
      <x:bottom style="thin">
        <x:color rgb="FF7E50A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7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/>
    <x:xf numFmtId="0" fontId="0" fillId="0" borderId="2" xfId="0" applyNumberFormat="1" applyFont="1" applyFill="1" applyBorder="1"/>
    <x:xf numFmtId="202" fontId="5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7ed0d602f4a61" /><Relationship Type="http://schemas.openxmlformats.org/officeDocument/2006/relationships/theme" Target="/xl/theme/theme1.xml" Id="R9d7afe50ad2444ad" /><Relationship Type="http://schemas.openxmlformats.org/officeDocument/2006/relationships/sharedStrings" Target="/xl/sharedStrings.xml" Id="R368eacd4f4c44f96" /><Relationship Type="http://schemas.openxmlformats.org/officeDocument/2006/relationships/worksheet" Target="/xl/worksheets/sheet1.xml" Id="Rfe678d0907f944fc" /><Relationship Type="http://schemas.openxmlformats.org/officeDocument/2006/relationships/worksheet" Target="/xl/worksheets/sheet2.xml" Id="Rda02894a202d4ad1" /><Relationship Type="http://schemas.openxmlformats.org/officeDocument/2006/relationships/worksheet" Target="/xl/worksheets/sheet3.xml" Id="R65e26915a5954e02" /><Relationship Type="http://schemas.openxmlformats.org/officeDocument/2006/relationships/worksheet" Target="/xl/worksheets/sheet4.xml" Id="Rdf0430daa2824bb0" /><Relationship Type="http://schemas.openxmlformats.org/officeDocument/2006/relationships/worksheet" Target="/xl/worksheets/sheet5.xml" Id="R4a75350e6af44794" /><Relationship Type="http://schemas.openxmlformats.org/officeDocument/2006/relationships/worksheet" Target="/xl/worksheets/sheet6.xml" Id="R4bd7dbda6f294525" /><Relationship Type="http://schemas.openxmlformats.org/officeDocument/2006/relationships/worksheet" Target="/xl/worksheets/sheet7.xml" Id="R1a80d09bf44445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9" hidden="0" customWidth="1"/>
    <x:col min="4" max="4" width="42" hidden="0" customWidth="1"/>
    <x:col min="5" max="5" width="22" hidden="0" customWidth="1"/>
    <x:col min="6" max="6" width="16" hidden="0" customWidth="1"/>
    <x:col min="7" max="7" width="20" hidden="0" customWidth="1"/>
    <x:col min="8" max="8" width="38" hidden="0" customWidth="1"/>
  </x:cols>
  <x:sheetData>
    <x:row r="1" ht="30" customHeight="1">
      <x:c r="A1" s="3" t="str">
        <x:v>Inebura Trends Dashboard - Data Template</x:v>
      </x:c>
    </x:row>
    <x:row r="2" ht="32" customHeight="1">
      <x:c r="A2" s="7" t="str">
        <x:v>Input schema for the Agent Trends prototype. Replace the sample rows with source-system data while preserving the column names and units.</x:v>
      </x:c>
    </x:row>
    <x:row r="4">
      <x:c r="A4" s="9" t="str">
        <x:v>Workbook structure</x:v>
      </x:c>
    </x:row>
    <x:row r="5" ht="34" customHeight="1">
      <x:c r="A5" s="14" t="str">
        <x:v>Sheet</x:v>
      </x:c>
      <x:c r="B5" s="14" t="str">
        <x:v>Purpose</x:v>
      </x:c>
      <x:c r="C5" s="14" t="str">
        <x:v>Source grain</x:v>
      </x:c>
      <x:c r="D5" s="14" t="str">
        <x:v>Primary charts</x:v>
      </x:c>
      <x:c r="E5" s="14" t="str">
        <x:v>Required date field</x:v>
      </x:c>
      <x:c r="F5" s="14" t="str">
        <x:v>Metric unit</x:v>
      </x:c>
      <x:c r="G5" s="14" t="str">
        <x:v>Replace sample rows?</x:v>
      </x:c>
      <x:c r="H5" s="14" t="str">
        <x:v>Notes</x:v>
      </x:c>
    </x:row>
    <x:row r="6">
      <x:c r="A6" s="17" t="str">
        <x:v>AR_Trend_Data</x:v>
      </x:c>
      <x:c r="B6" s="17" t="str">
        <x:v>Collections and receivables trend metrics</x:v>
      </x:c>
      <x:c r="C6" s="17" t="str">
        <x:v>One dimensional slice per day or month</x:v>
      </x:c>
      <x:c r="D6" s="17" t="str">
        <x:v>Collection; Plan vs Portfolio; Aging; CN/ADV; Provisioning; Written Off</x:v>
      </x:c>
      <x:c r="E6" s="17" t="str">
        <x:v>Metric Date</x:v>
      </x:c>
      <x:c r="F6" s="17" t="str">
        <x:v>Rs. Cr</x:v>
      </x:c>
      <x:c r="G6" s="17" t="str">
        <x:v>Yes</x:v>
      </x:c>
      <x:c r="H6" s="17" t="str">
        <x:v>Do not mix daily and monthly rows for the same source record.</x:v>
      </x:c>
    </x:row>
    <x:row r="7">
      <x:c r="A7" s="17" t="str">
        <x:v>Visit_Data</x:v>
      </x:c>
      <x:c r="B7" s="17" t="str">
        <x:v>Field-visit events</x:v>
      </x:c>
      <x:c r="C7" s="17" t="str">
        <x:v>One row per visit</x:v>
      </x:c>
      <x:c r="D7" s="17" t="str">
        <x:v>Visits Trend</x:v>
      </x:c>
      <x:c r="E7" s="17" t="str">
        <x:v>Visit Date</x:v>
      </x:c>
      <x:c r="F7" s="17" t="str">
        <x:v>Count</x:v>
      </x:c>
      <x:c r="G7" s="17" t="str">
        <x:v>Yes</x:v>
      </x:c>
      <x:c r="H7" s="17" t="str">
        <x:v>Unique customers are calculated per displayed period using distinct Customer ID.</x:v>
      </x:c>
    </x:row>
    <x:row r="8">
      <x:c r="A8" s="17" t="str">
        <x:v>Submission_Data</x:v>
      </x:c>
      <x:c r="B8" s="17" t="str">
        <x:v>Invoice-submission events</x:v>
      </x:c>
      <x:c r="C8" s="17" t="str">
        <x:v>One row per invoice submission event</x:v>
      </x:c>
      <x:c r="D8" s="17" t="str">
        <x:v>Invoice Submission</x:v>
      </x:c>
      <x:c r="E8" s="17" t="str">
        <x:v>Submission Date</x:v>
      </x:c>
      <x:c r="F8" s="17" t="str">
        <x:v>Count</x:v>
      </x:c>
      <x:c r="G8" s="17" t="str">
        <x:v>Yes</x:v>
      </x:c>
      <x:c r="H8" s="17" t="str">
        <x:v>Channel must use the controlled list.</x:v>
      </x:c>
    </x:row>
    <x:row r="9">
      <x:c r="A9" s="17" t="str">
        <x:v>Chart_Field_Map</x:v>
      </x:c>
      <x:c r="B9" s="17" t="str">
        <x:v>Chart-by-chart field and calculation specification</x:v>
      </x:c>
      <x:c r="C9" s="17" t="str">
        <x:v>One row per chart series</x:v>
      </x:c>
      <x:c r="D9" s="17" t="str">
        <x:v>All eight charts</x:v>
      </x:c>
      <x:c r="E9" s="17" t="str">
        <x:v>Not applicable</x:v>
      </x:c>
      <x:c r="F9" s="17" t="str">
        <x:v>Mixed</x:v>
      </x:c>
      <x:c r="G9" s="17" t="str">
        <x:v>No</x:v>
      </x:c>
      <x:c r="H9" s="17" t="str">
        <x:v>Implementation reference.</x:v>
      </x:c>
    </x:row>
    <x:row r="10">
      <x:c r="A10" s="17" t="str">
        <x:v>Lists</x:v>
      </x:c>
      <x:c r="B10" s="17" t="str">
        <x:v>Controlled values for data validation</x:v>
      </x:c>
      <x:c r="C10" s="17" t="str">
        <x:v>Reference list</x:v>
      </x:c>
      <x:c r="D10" s="17" t="str">
        <x:v>Filters and channels</x:v>
      </x:c>
      <x:c r="E10" s="17" t="str">
        <x:v>Not applicable</x:v>
      </x:c>
      <x:c r="F10" s="17" t="str">
        <x:v>Text</x:v>
      </x:c>
      <x:c r="G10" s="17" t="str">
        <x:v>Extend carefully</x:v>
      </x:c>
      <x:c r="H10" s="17" t="str">
        <x:v>Keep labels aligned with the dashboard.</x:v>
      </x:c>
    </x:row>
    <x:row r="11">
      <x:c r="A11" s="17" t="str">
        <x:v>Checks</x:v>
      </x:c>
      <x:c r="B11" s="17" t="str">
        <x:v>Formula-driven reconciliation checks</x:v>
      </x:c>
      <x:c r="C11" s="17" t="str">
        <x:v>Workbook QA</x:v>
      </x:c>
      <x:c r="D11" s="17" t="str">
        <x:v>All charts</x:v>
      </x:c>
      <x:c r="E11" s="17" t="str">
        <x:v>Not applicable</x:v>
      </x:c>
      <x:c r="F11" s="17" t="str">
        <x:v>Mixed</x:v>
      </x:c>
      <x:c r="G11" s="17" t="str">
        <x:v>No</x:v>
      </x:c>
      <x:c r="H11" s="17" t="str">
        <x:v>Checks sample/imported rows within the template ranges.</x:v>
      </x:c>
    </x:row>
    <x:row r="12">
      <x:c r="A12" s="18" t="str">
        <x:v>Data rules</x:v>
      </x:c>
    </x:row>
    <x:row r="13">
      <x:c r="A13" s="22" t="str">
        <x:v>Rule</x:v>
      </x:c>
      <x:c r="B13" s="22" t="str">
        <x:v>Requirement</x:v>
      </x:c>
      <x:c r="C13" s="22" t="str">
        <x:v>Why it matters</x:v>
      </x:c>
      <x:c r="D13" s="22" t="str">
        <x:v>Example</x:v>
      </x:c>
      <x:c r="E13" s="22" t="str"/>
      <x:c r="F13" s="22" t="str"/>
      <x:c r="G13" s="22" t="str"/>
      <x:c r="H13" s="22" t="str"/>
    </x:row>
    <x:row r="14">
      <x:c r="A14" s="23" t="str">
        <x:v>Units</x:v>
      </x:c>
      <x:c r="B14" s="23" t="str">
        <x:v>All monetary columns use Rs. Cr as numeric values; counts remain whole numbers.</x:v>
      </x:c>
      <x:c r="C14" s="23" t="str">
        <x:v>Prevents mixed rupee/crore axes.</x:v>
      </x:c>
      <x:c r="D14" s="23" t="str">
        <x:v>0.85 means Rs. 0.85 Cr</x:v>
      </x:c>
      <x:c r="E14" s="23" t="str"/>
      <x:c r="F14" s="23" t="str"/>
      <x:c r="G14" s="23" t="str"/>
      <x:c r="H14" s="23" t="str"/>
    </x:row>
    <x:row r="15">
      <x:c r="A15" s="23" t="str">
        <x:v>Filters</x:v>
      </x:c>
      <x:c r="B15" s="23" t="str">
        <x:v>Blank selection means all data. OR within a filter; AND across filters.</x:v>
      </x:c>
      <x:c r="C15" s="23" t="str">
        <x:v>Matches the nested dashboard filter behavior.</x:v>
      </x:c>
      <x:c r="D15" s="23" t="str">
        <x:v>Agent A or B, plus City Mumbai</x:v>
      </x:c>
      <x:c r="E15" s="23" t="str"/>
      <x:c r="F15" s="23" t="str"/>
      <x:c r="G15" s="23" t="str"/>
      <x:c r="H15" s="23" t="str"/>
    </x:row>
    <x:row r="16">
      <x:c r="A16" s="23" t="str">
        <x:v>Current periods</x:v>
      </x:c>
      <x:c r="B16" s="23" t="str">
        <x:v>Load data only through the latest available month/day.</x:v>
      </x:c>
      <x:c r="C16" s="23" t="str">
        <x:v>Prevents future dummy points.</x:v>
      </x:c>
      <x:c r="D16" s="23" t="str">
        <x:v>July data stops at the latest loaded date</x:v>
      </x:c>
      <x:c r="E16" s="23" t="str"/>
      <x:c r="F16" s="23" t="str"/>
      <x:c r="G16" s="23" t="str"/>
      <x:c r="H16" s="23" t="str"/>
    </x:row>
    <x:row r="17">
      <x:c r="A17" s="23" t="str">
        <x:v>Flows</x:v>
      </x:c>
      <x:c r="B17" s="23" t="str">
        <x:v>Collection, billing, PTP target, plan, CN/ADV, provisioning and written off aggregate by SUM.</x:v>
      </x:c>
      <x:c r="C17" s="23" t="str">
        <x:v>These are period movements.</x:v>
      </x:c>
      <x:c r="D17" s="23" t="str">
        <x:v>Monthly collection = sum of included rows</x:v>
      </x:c>
      <x:c r="E17" s="23" t="str"/>
      <x:c r="F17" s="23" t="str"/>
      <x:c r="G17" s="23" t="str"/>
      <x:c r="H17" s="23" t="str"/>
    </x:row>
    <x:row r="18">
      <x:c r="A18" s="23" t="str">
        <x:v>Snapshots</x:v>
      </x:c>
      <x:c r="B18" s="23" t="str">
        <x:v>Portfolio and aging fields use closing-snapshot rows only.</x:v>
      </x:c>
      <x:c r="C18" s="23" t="str">
        <x:v>Avoids summing the same balance repeatedly.</x:v>
      </x:c>
      <x:c r="D18" s="23" t="str">
        <x:v>Set Closing Snapshot = Yes</x:v>
      </x:c>
      <x:c r="E18" s="23" t="str"/>
      <x:c r="F18" s="23" t="str"/>
      <x:c r="G18" s="23" t="str"/>
      <x:c r="H18" s="23" t="str"/>
    </x:row>
    <x:row r="19">
      <x:c r="A19" s="23" t="str">
        <x:v>Visits</x:v>
      </x:c>
      <x:c r="B19" s="23" t="str">
        <x:v>Total visits = event count; unique visits = distinct Customer ID; repeat visits = total minus unique.</x:v>
      </x:c>
      <x:c r="C19" s="23" t="str">
        <x:v>Produces the stacked Visits chart.</x:v>
      </x:c>
      <x:c r="D19" s="23" t="str">
        <x:v>42 total - 30 unique = 12 repeat</x:v>
      </x:c>
      <x:c r="E19" s="23" t="str"/>
      <x:c r="F19" s="23" t="str"/>
      <x:c r="G19" s="23" t="str"/>
      <x:c r="H19" s="23" t="str"/>
    </x:row>
    <x:row r="20">
      <x:c r="A20" s="23" t="str">
        <x:v>Submissions</x:v>
      </x:c>
      <x:c r="B20" s="23" t="str">
        <x:v>Invoice Submission is the count of events grouped by Submission Channel.</x:v>
      </x:c>
      <x:c r="C20" s="23" t="str">
        <x:v>Produces four stacked channel bars.</x:v>
      </x:c>
      <x:c r="D20" s="23" t="str">
        <x:v>Physical + Courier + Email + External</x:v>
      </x:c>
      <x:c r="E20" s="23" t="str"/>
      <x:c r="F20" s="23" t="str"/>
      <x:c r="G20" s="23" t="str"/>
      <x:c r="H20" s="23" t="str"/>
    </x:row>
    <x:row r="22">
      <x:c r="A22" s="26" t="str">
        <x:v>Source: current Agent Trends design and calculations in scripts/manager-dashboard-trends.js. Sample rows are illustrative and are marked with Source System = SAMPLE.</x:v>
      </x:c>
    </x:row>
  </x:sheetData>
  <x:mergeCells>
    <x:mergeCell ref="A1:H1"/>
    <x:mergeCell ref="A2:H2"/>
    <x:mergeCell ref="A4:H4"/>
    <x:mergeCell ref="A12:H12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9" hidden="0" customWidth="1"/>
    <x:col min="5" max="5" width="13" hidden="0" customWidth="1"/>
    <x:col min="6" max="6" width="17" hidden="0" customWidth="1"/>
    <x:col min="7" max="7" width="14" hidden="0" customWidth="1"/>
    <x:col min="8" max="8" width="8" hidden="0" customWidth="1"/>
    <x:col min="9" max="9" width="20" hidden="0" customWidth="1"/>
    <x:col min="10" max="10" width="20" hidden="0" customWidth="1"/>
    <x:col min="11" max="11" width="19" hidden="0" customWidth="1"/>
    <x:col min="12" max="12" width="17" hidden="0" customWidth="1"/>
    <x:col min="13" max="13" width="14" hidden="0" customWidth="1"/>
    <x:col min="14" max="14" width="14" hidden="0" customWidth="1"/>
    <x:col min="15" max="15" width="28" hidden="0" customWidth="1"/>
    <x:col min="16" max="16" width="18" hidden="0" customWidth="1"/>
    <x:col min="17" max="17" width="13" hidden="0" customWidth="1"/>
    <x:col min="18" max="18" width="16" hidden="0" customWidth="1"/>
    <x:col min="19" max="19" width="18" hidden="0" customWidth="1"/>
    <x:col min="20" max="20" width="17" hidden="0" customWidth="1"/>
    <x:col min="21" max="21" width="14" hidden="0" customWidth="1"/>
    <x:col min="22" max="22" width="16" hidden="0" customWidth="1"/>
    <x:col min="23" max="23" width="18" hidden="0" customWidth="1"/>
    <x:col min="24" max="24" width="19" hidden="0" customWidth="1"/>
    <x:col min="25" max="25" width="19" hidden="0" customWidth="1"/>
    <x:col min="26" max="26" width="17" hidden="0" customWidth="1"/>
    <x:col min="27" max="27" width="18" hidden="0" customWidth="1"/>
    <x:col min="28" max="28" width="18" hidden="0" customWidth="1"/>
    <x:col min="29" max="29" width="20" hidden="0" customWidth="1"/>
    <x:col min="30" max="30" width="18" hidden="0" customWidth="1"/>
    <x:col min="31" max="31" width="17" hidden="0" customWidth="1"/>
    <x:col min="32" max="32" width="22" hidden="0" customWidth="1"/>
    <x:col min="33" max="33" width="15" hidden="0" customWidth="1"/>
    <x:col min="34" max="34" width="14" hidden="0" customWidth="1"/>
    <x:col min="35" max="35" width="34" hidden="0" customWidth="1"/>
  </x:cols>
  <x:sheetData>
    <x:row r="1" ht="30" customHeight="1">
      <x:c r="A1" s="3" t="str">
        <x:v>AR Trend Data</x:v>
      </x:c>
    </x:row>
    <x:row r="2" ht="32" customHeight="1">
      <x:c r="A2" s="7" t="str">
        <x:v>Daily or monthly dimensional metrics for Collection, Plan vs Portfolio, Aging, CN/ADV, Provisioning and Written Off. Purple columns are source inputs; grey period columns and Aging Total are derived.</x:v>
      </x:c>
    </x:row>
    <x:row r="4">
      <x:c r="A4" s="28" t="str">
        <x:v>Grain: one date + hierarchy + customer + due-status slice. For snapshot metrics, use only rows marked Closing Snapshot = Yes.</x:v>
      </x:c>
    </x:row>
    <x:row r="7" ht="34" customHeight="1">
      <x:c r="A7" s="14" t="str">
        <x:v>Metric Date</x:v>
      </x:c>
      <x:c r="B7" s="14" t="str">
        <x:v>Period Grain</x:v>
      </x:c>
      <x:c r="C7" s="14" t="str">
        <x:v>Closing Snapshot</x:v>
      </x:c>
      <x:c r="D7" s="14" t="str">
        <x:v>Year</x:v>
      </x:c>
      <x:c r="E7" s="14" t="str">
        <x:v>Fiscal Year</x:v>
      </x:c>
      <x:c r="F7" s="14" t="str">
        <x:v>Calendar Quarter</x:v>
      </x:c>
      <x:c r="G7" s="14" t="str">
        <x:v>Month</x:v>
      </x:c>
      <x:c r="H7" s="14" t="str">
        <x:v>Day</x:v>
      </x:c>
      <x:c r="I7" s="14" t="str">
        <x:v>Agent</x:v>
      </x:c>
      <x:c r="J7" s="14" t="str">
        <x:v>Manager</x:v>
      </x:c>
      <x:c r="K7" s="14" t="str">
        <x:v>KAM</x:v>
      </x:c>
      <x:c r="L7" s="14" t="str">
        <x:v>KAS</x:v>
      </x:c>
      <x:c r="M7" s="14" t="str">
        <x:v>City</x:v>
      </x:c>
      <x:c r="N7" s="14" t="str">
        <x:v>Customer ID</x:v>
      </x:c>
      <x:c r="O7" s="14" t="str">
        <x:v>Customer Name</x:v>
      </x:c>
      <x:c r="P7" s="14" t="str">
        <x:v>Customer Category</x:v>
      </x:c>
      <x:c r="Q7" s="14" t="str">
        <x:v>Due Status</x:v>
      </x:c>
      <x:c r="R7" s="14" t="str">
        <x:v>Collection (Rs. Cr)</x:v>
      </x:c>
      <x:c r="S7" s="14" t="str">
        <x:v>New Billing (Rs. Cr)</x:v>
      </x:c>
      <x:c r="T7" s="14" t="str">
        <x:v>PTP Target (Rs. Cr)</x:v>
      </x:c>
      <x:c r="U7" s="14" t="str">
        <x:v>Plan (Rs. Cr)</x:v>
      </x:c>
      <x:c r="V7" s="14" t="str">
        <x:v>Portfolio (Rs. Cr)</x:v>
      </x:c>
      <x:c r="W7" s="14" t="str">
        <x:v>Aging 0-30 (Rs. Cr)</x:v>
      </x:c>
      <x:c r="X7" s="14" t="str">
        <x:v>Aging 31-60 (Rs. Cr)</x:v>
      </x:c>
      <x:c r="Y7" s="14" t="str">
        <x:v>Aging 61-90 (Rs. Cr)</x:v>
      </x:c>
      <x:c r="Z7" s="14" t="str">
        <x:v>Aging 90+ (Rs. Cr)</x:v>
      </x:c>
      <x:c r="AA7" s="14" t="str">
        <x:v>Aging Total (Rs. Cr)</x:v>
      </x:c>
      <x:c r="AB7" s="14" t="str">
        <x:v>CN/ADV Added (Rs. Cr)</x:v>
      </x:c>
      <x:c r="AC7" s="14" t="str">
        <x:v>CN/ADV Utilised (Rs. Cr)</x:v>
      </x:c>
      <x:c r="AD7" s="14" t="str">
        <x:v>Provisioning (Rs. Cr)</x:v>
      </x:c>
      <x:c r="AE7" s="14" t="str">
        <x:v>Written Off (Rs. Cr)</x:v>
      </x:c>
      <x:c r="AF7" s="14" t="str">
        <x:v>Source Record ID</x:v>
      </x:c>
      <x:c r="AG7" s="14" t="str">
        <x:v>Source System</x:v>
      </x:c>
      <x:c r="AH7" s="14" t="str">
        <x:v>Data As Of</x:v>
      </x:c>
      <x:c r="AI7" s="14" t="str">
        <x:v>Notes</x:v>
      </x:c>
    </x:row>
    <x:row r="8">
      <x:c r="A8" s="30" t="n">
        <x:v>46053</x:v>
      </x:c>
      <x:c r="B8" s="17" t="str">
        <x:v>Monthly</x:v>
      </x:c>
      <x:c r="C8" s="17" t="str">
        <x:v>Yes</x:v>
      </x:c>
      <x:c r="D8" s="29" t="n">
        <x:f>YEAR(A8)</x:f>
        <x:v>2026</x:v>
      </x:c>
      <x:c r="E8" s="29" t="str">
        <x:f>"FY"&amp;IF(MONTH(A8)&gt;=4,YEAR(A8),YEAR(A8)-1)&amp;"-"&amp;RIGHT(IF(MONTH(A8)&gt;=4,YEAR(A8)+1,YEAR(A8))&amp;"",2)</x:f>
        <x:v>FY2025-26</x:v>
      </x:c>
      <x:c r="F8" s="29" t="str">
        <x:f>"Q"&amp;ROUNDUP(MONTH(A8)/3,0)&amp;" "&amp;YEAR(A8)</x:f>
        <x:v>Q1 2026</x:v>
      </x:c>
      <x:c r="G8" s="29" t="str">
        <x:f>TEXT(A8,"mmm yyyy")</x:f>
        <x:v>Jan 2026</x:v>
      </x:c>
      <x:c r="H8" s="29" t="n">
        <x:f>DAY(A8)</x:f>
        <x:v>31</x:v>
      </x:c>
      <x:c r="I8" s="17" t="str">
        <x:v>Devashish Agent1</x:v>
      </x:c>
      <x:c r="J8" s="17" t="str">
        <x:v>Rohit Malhotra</x:v>
      </x:c>
      <x:c r="K8" s="17" t="str">
        <x:v>Sakshi Sharma</x:v>
      </x:c>
      <x:c r="L8" s="17" t="str">
        <x:v>Ravi Singh</x:v>
      </x:c>
      <x:c r="M8" s="17" t="str">
        <x:v>Mumbai</x:v>
      </x:c>
      <x:c r="N8" s="17" t="str">
        <x:v>CUST-001</x:v>
      </x:c>
      <x:c r="O8" s="17" t="str">
        <x:v>Apollo Pharmacy Pvt Ltd</x:v>
      </x:c>
      <x:c r="P8" s="17" t="str">
        <x:v>Private</x:v>
      </x:c>
      <x:c r="Q8" s="17" t="str">
        <x:v>Due</x:v>
      </x:c>
      <x:c r="R8" s="31" t="n">
        <x:v>0.18</x:v>
      </x:c>
      <x:c r="S8" s="31" t="n">
        <x:v>0.22</x:v>
      </x:c>
      <x:c r="T8" s="31" t="n">
        <x:v>0.07</x:v>
      </x:c>
      <x:c r="U8" s="31" t="n">
        <x:v>0.14</x:v>
      </x:c>
      <x:c r="V8" s="31" t="n">
        <x:v>1.82</x:v>
      </x:c>
      <x:c r="W8" s="31" t="n">
        <x:v>0.54</x:v>
      </x:c>
      <x:c r="X8" s="31" t="n">
        <x:v>0.43</x:v>
      </x:c>
      <x:c r="Y8" s="31" t="n">
        <x:v>0.28</x:v>
      </x:c>
      <x:c r="Z8" s="31" t="n">
        <x:v>0.19</x:v>
      </x:c>
      <x:c r="AA8" s="32" t="n">
        <x:f>SUM(W8:Z8)</x:f>
        <x:v>1.44</x:v>
      </x:c>
      <x:c r="AB8" s="31" t="n">
        <x:v>0.06</x:v>
      </x:c>
      <x:c r="AC8" s="31" t="n">
        <x:v>0.05</x:v>
      </x:c>
      <x:c r="AD8" s="31" t="n">
        <x:v>0.11</x:v>
      </x:c>
      <x:c r="AE8" s="31" t="n">
        <x:v>0.02</x:v>
      </x:c>
      <x:c r="AF8" s="17" t="str">
        <x:v>AR-202601-001-D</x:v>
      </x:c>
      <x:c r="AG8" s="17" t="str">
        <x:v>SAMPLE</x:v>
      </x:c>
      <x:c r="AH8" s="30" t="n">
        <x:v>46053</x:v>
      </x:c>
      <x:c r="AI8" s="17" t="str">
        <x:v>Illustrative row</x:v>
      </x:c>
    </x:row>
    <x:row r="9">
      <x:c r="A9" s="30" t="n">
        <x:v>46053</x:v>
      </x:c>
      <x:c r="B9" s="17" t="str">
        <x:v>Monthly</x:v>
      </x:c>
      <x:c r="C9" s="17" t="str">
        <x:v>Yes</x:v>
      </x:c>
      <x:c r="D9" s="29" t="n">
        <x:f>YEAR(A9)</x:f>
        <x:v>2026</x:v>
      </x:c>
      <x:c r="E9" s="29" t="str">
        <x:f>"FY"&amp;IF(MONTH(A9)&gt;=4,YEAR(A9),YEAR(A9)-1)&amp;"-"&amp;RIGHT(IF(MONTH(A9)&gt;=4,YEAR(A9)+1,YEAR(A9))&amp;"",2)</x:f>
        <x:v>FY2025-26</x:v>
      </x:c>
      <x:c r="F9" s="29" t="str">
        <x:f>"Q"&amp;ROUNDUP(MONTH(A9)/3,0)&amp;" "&amp;YEAR(A9)</x:f>
        <x:v>Q1 2026</x:v>
      </x:c>
      <x:c r="G9" s="29" t="str">
        <x:f>TEXT(A9,"mmm yyyy")</x:f>
        <x:v>Jan 2026</x:v>
      </x:c>
      <x:c r="H9" s="29" t="n">
        <x:f>DAY(A9)</x:f>
        <x:v>31</x:v>
      </x:c>
      <x:c r="I9" s="17" t="str">
        <x:v>Neha Gupta</x:v>
      </x:c>
      <x:c r="J9" s="17" t="str">
        <x:v>Rohit Malhotra</x:v>
      </x:c>
      <x:c r="K9" s="17" t="str">
        <x:v>Sakshi Sharma</x:v>
      </x:c>
      <x:c r="L9" s="17" t="str">
        <x:v>Priya Nair</x:v>
      </x:c>
      <x:c r="M9" s="17" t="str">
        <x:v>Pune</x:v>
      </x:c>
      <x:c r="N9" s="17" t="str">
        <x:v>CUST-007</x:v>
      </x:c>
      <x:c r="O9" s="17" t="str">
        <x:v>Blue Star Limited</x:v>
      </x:c>
      <x:c r="P9" s="17" t="str">
        <x:v>Distributor</x:v>
      </x:c>
      <x:c r="Q9" s="17" t="str">
        <x:v>Not Due</x:v>
      </x:c>
      <x:c r="R9" s="31" t="n">
        <x:v>0.16</x:v>
      </x:c>
      <x:c r="S9" s="31" t="n">
        <x:v>0.2</x:v>
      </x:c>
      <x:c r="T9" s="31" t="n">
        <x:v>0.05</x:v>
      </x:c>
      <x:c r="U9" s="31" t="n">
        <x:v>0.13</x:v>
      </x:c>
      <x:c r="V9" s="31" t="n">
        <x:v>1.67</x:v>
      </x:c>
      <x:c r="W9" s="31" t="n">
        <x:v>0.61</x:v>
      </x:c>
      <x:c r="X9" s="31" t="n">
        <x:v>0.39</x:v>
      </x:c>
      <x:c r="Y9" s="31" t="n">
        <x:v>0.22</x:v>
      </x:c>
      <x:c r="Z9" s="31" t="n">
        <x:v>0.14</x:v>
      </x:c>
      <x:c r="AA9" s="32" t="n">
        <x:f>SUM(W9:Z9)</x:f>
        <x:v>1.3599999999999999</x:v>
      </x:c>
      <x:c r="AB9" s="31" t="n">
        <x:v>0.05</x:v>
      </x:c>
      <x:c r="AC9" s="31" t="n">
        <x:v>0.04</x:v>
      </x:c>
      <x:c r="AD9" s="31" t="n">
        <x:v>0.09</x:v>
      </x:c>
      <x:c r="AE9" s="31" t="n">
        <x:v>0.01</x:v>
      </x:c>
      <x:c r="AF9" s="17" t="str">
        <x:v>AR-202601-007-N</x:v>
      </x:c>
      <x:c r="AG9" s="17" t="str">
        <x:v>SAMPLE</x:v>
      </x:c>
      <x:c r="AH9" s="30" t="n">
        <x:v>46053</x:v>
      </x:c>
      <x:c r="AI9" s="17" t="str">
        <x:v>Illustrative row</x:v>
      </x:c>
    </x:row>
    <x:row r="10">
      <x:c r="A10" s="30" t="n">
        <x:v>46053</x:v>
      </x:c>
      <x:c r="B10" s="17" t="str">
        <x:v>Monthly</x:v>
      </x:c>
      <x:c r="C10" s="17" t="str">
        <x:v>Yes</x:v>
      </x:c>
      <x:c r="D10" s="29" t="n">
        <x:f>YEAR(A10)</x:f>
        <x:v>2026</x:v>
      </x:c>
      <x:c r="E10" s="29" t="str">
        <x:f>"FY"&amp;IF(MONTH(A10)&gt;=4,YEAR(A10),YEAR(A10)-1)&amp;"-"&amp;RIGHT(IF(MONTH(A10)&gt;=4,YEAR(A10)+1,YEAR(A10))&amp;"",2)</x:f>
        <x:v>FY2025-26</x:v>
      </x:c>
      <x:c r="F10" s="29" t="str">
        <x:f>"Q"&amp;ROUNDUP(MONTH(A10)/3,0)&amp;" "&amp;YEAR(A10)</x:f>
        <x:v>Q1 2026</x:v>
      </x:c>
      <x:c r="G10" s="29" t="str">
        <x:f>TEXT(A10,"mmm yyyy")</x:f>
        <x:v>Jan 2026</x:v>
      </x:c>
      <x:c r="H10" s="29" t="n">
        <x:f>DAY(A10)</x:f>
        <x:v>31</x:v>
      </x:c>
      <x:c r="I10" s="17" t="str">
        <x:v>Riya Nair</x:v>
      </x:c>
      <x:c r="J10" s="17" t="str">
        <x:v>Rohit Malhotra</x:v>
      </x:c>
      <x:c r="K10" s="17" t="str">
        <x:v>Abhishek Sharma</x:v>
      </x:c>
      <x:c r="L10" s="17" t="str">
        <x:v>Ankit Verma</x:v>
      </x:c>
      <x:c r="M10" s="17" t="str">
        <x:v>Delhi</x:v>
      </x:c>
      <x:c r="N10" s="17" t="str">
        <x:v>CUST-013</x:v>
      </x:c>
      <x:c r="O10" s="17" t="str">
        <x:v>Varun Beverages</x:v>
      </x:c>
      <x:c r="P10" s="17" t="str">
        <x:v>Private</x:v>
      </x:c>
      <x:c r="Q10" s="17" t="str">
        <x:v>Due</x:v>
      </x:c>
      <x:c r="R10" s="31" t="n">
        <x:v>0.19</x:v>
      </x:c>
      <x:c r="S10" s="31" t="n">
        <x:v>0.23</x:v>
      </x:c>
      <x:c r="T10" s="31" t="n">
        <x:v>0.08</x:v>
      </x:c>
      <x:c r="U10" s="31" t="n">
        <x:v>0.15</x:v>
      </x:c>
      <x:c r="V10" s="31" t="n">
        <x:v>1.95</x:v>
      </x:c>
      <x:c r="W10" s="31" t="n">
        <x:v>0.51</x:v>
      </x:c>
      <x:c r="X10" s="31" t="n">
        <x:v>0.45</x:v>
      </x:c>
      <x:c r="Y10" s="31" t="n">
        <x:v>0.34</x:v>
      </x:c>
      <x:c r="Z10" s="31" t="n">
        <x:v>0.23</x:v>
      </x:c>
      <x:c r="AA10" s="32" t="n">
        <x:f>SUM(W10:Z10)</x:f>
        <x:v>1.53</x:v>
      </x:c>
      <x:c r="AB10" s="31" t="n">
        <x:v>0.07</x:v>
      </x:c>
      <x:c r="AC10" s="31" t="n">
        <x:v>0.08</x:v>
      </x:c>
      <x:c r="AD10" s="31" t="n">
        <x:v>0.13</x:v>
      </x:c>
      <x:c r="AE10" s="31" t="n">
        <x:v>0.02</x:v>
      </x:c>
      <x:c r="AF10" s="17" t="str">
        <x:v>AR-202601-013-D</x:v>
      </x:c>
      <x:c r="AG10" s="17" t="str">
        <x:v>SAMPLE</x:v>
      </x:c>
      <x:c r="AH10" s="30" t="n">
        <x:v>46053</x:v>
      </x:c>
      <x:c r="AI10" s="17" t="str">
        <x:v>Illustrative row</x:v>
      </x:c>
    </x:row>
    <x:row r="11">
      <x:c r="A11" s="30" t="n">
        <x:v>46053</x:v>
      </x:c>
      <x:c r="B11" s="17" t="str">
        <x:v>Monthly</x:v>
      </x:c>
      <x:c r="C11" s="17" t="str">
        <x:v>Yes</x:v>
      </x:c>
      <x:c r="D11" s="29" t="n">
        <x:f>YEAR(A11)</x:f>
        <x:v>2026</x:v>
      </x:c>
      <x:c r="E11" s="29" t="str">
        <x:f>"FY"&amp;IF(MONTH(A11)&gt;=4,YEAR(A11),YEAR(A11)-1)&amp;"-"&amp;RIGHT(IF(MONTH(A11)&gt;=4,YEAR(A11)+1,YEAR(A11))&amp;"",2)</x:f>
        <x:v>FY2025-26</x:v>
      </x:c>
      <x:c r="F11" s="29" t="str">
        <x:f>"Q"&amp;ROUNDUP(MONTH(A11)/3,0)&amp;" "&amp;YEAR(A11)</x:f>
        <x:v>Q1 2026</x:v>
      </x:c>
      <x:c r="G11" s="29" t="str">
        <x:f>TEXT(A11,"mmm yyyy")</x:f>
        <x:v>Jan 2026</x:v>
      </x:c>
      <x:c r="H11" s="29" t="n">
        <x:f>DAY(A11)</x:f>
        <x:v>31</x:v>
      </x:c>
      <x:c r="I11" s="17" t="str">
        <x:v>Vikram Das</x:v>
      </x:c>
      <x:c r="J11" s="17" t="str">
        <x:v>Mukesh Mishra</x:v>
      </x:c>
      <x:c r="K11" s="17" t="str">
        <x:v>Palak Choudhary</x:v>
      </x:c>
      <x:c r="L11" s="17" t="str">
        <x:v>Manish Kumar</x:v>
      </x:c>
      <x:c r="M11" s="17" t="str">
        <x:v>Bengaluru</x:v>
      </x:c>
      <x:c r="N11" s="17" t="str">
        <x:v>CUST-021</x:v>
      </x:c>
      <x:c r="O11" s="17" t="str">
        <x:v>Shiva Healthcare Pvt Ltd</x:v>
      </x:c>
      <x:c r="P11" s="17" t="str">
        <x:v>Public</x:v>
      </x:c>
      <x:c r="Q11" s="17" t="str">
        <x:v>Due</x:v>
      </x:c>
      <x:c r="R11" s="31" t="n">
        <x:v>0.17</x:v>
      </x:c>
      <x:c r="S11" s="31" t="n">
        <x:v>0.21</x:v>
      </x:c>
      <x:c r="T11" s="31" t="n">
        <x:v>0.06</x:v>
      </x:c>
      <x:c r="U11" s="31" t="n">
        <x:v>0.13</x:v>
      </x:c>
      <x:c r="V11" s="31" t="n">
        <x:v>1.73</x:v>
      </x:c>
      <x:c r="W11" s="31" t="n">
        <x:v>0.48</x:v>
      </x:c>
      <x:c r="X11" s="31" t="n">
        <x:v>0.41</x:v>
      </x:c>
      <x:c r="Y11" s="31" t="n">
        <x:v>0.31</x:v>
      </x:c>
      <x:c r="Z11" s="31" t="n">
        <x:v>0.2</x:v>
      </x:c>
      <x:c r="AA11" s="32" t="n">
        <x:f>SUM(W11:Z11)</x:f>
        <x:v>1.4</x:v>
      </x:c>
      <x:c r="AB11" s="31" t="n">
        <x:v>0.06</x:v>
      </x:c>
      <x:c r="AC11" s="31" t="n">
        <x:v>0.07</x:v>
      </x:c>
      <x:c r="AD11" s="31" t="n">
        <x:v>0.12</x:v>
      </x:c>
      <x:c r="AE11" s="31" t="n">
        <x:v>0.02</x:v>
      </x:c>
      <x:c r="AF11" s="17" t="str">
        <x:v>AR-202601-021-D</x:v>
      </x:c>
      <x:c r="AG11" s="17" t="str">
        <x:v>SAMPLE</x:v>
      </x:c>
      <x:c r="AH11" s="30" t="n">
        <x:v>46053</x:v>
      </x:c>
      <x:c r="AI11" s="17" t="str">
        <x:v>Illustrative row</x:v>
      </x:c>
    </x:row>
    <x:row r="12">
      <x:c r="A12" s="30" t="n">
        <x:v>46081</x:v>
      </x:c>
      <x:c r="B12" s="17" t="str">
        <x:v>Monthly</x:v>
      </x:c>
      <x:c r="C12" s="17" t="str">
        <x:v>Yes</x:v>
      </x:c>
      <x:c r="D12" s="29" t="n">
        <x:f>YEAR(A12)</x:f>
        <x:v>2026</x:v>
      </x:c>
      <x:c r="E12" s="29" t="str">
        <x:f>"FY"&amp;IF(MONTH(A12)&gt;=4,YEAR(A12),YEAR(A12)-1)&amp;"-"&amp;RIGHT(IF(MONTH(A12)&gt;=4,YEAR(A12)+1,YEAR(A12))&amp;"",2)</x:f>
        <x:v>FY2025-26</x:v>
      </x:c>
      <x:c r="F12" s="29" t="str">
        <x:f>"Q"&amp;ROUNDUP(MONTH(A12)/3,0)&amp;" "&amp;YEAR(A12)</x:f>
        <x:v>Q1 2026</x:v>
      </x:c>
      <x:c r="G12" s="29" t="str">
        <x:f>TEXT(A12,"mmm yyyy")</x:f>
        <x:v>Feb 2026</x:v>
      </x:c>
      <x:c r="H12" s="29" t="n">
        <x:f>DAY(A12)</x:f>
        <x:v>28</x:v>
      </x:c>
      <x:c r="I12" s="17" t="str">
        <x:v>Devashish Agent1</x:v>
      </x:c>
      <x:c r="J12" s="17" t="str">
        <x:v>Rohit Malhotra</x:v>
      </x:c>
      <x:c r="K12" s="17" t="str">
        <x:v>Sakshi Sharma</x:v>
      </x:c>
      <x:c r="L12" s="17" t="str">
        <x:v>Ravi Singh</x:v>
      </x:c>
      <x:c r="M12" s="17" t="str">
        <x:v>Mumbai</x:v>
      </x:c>
      <x:c r="N12" s="17" t="str">
        <x:v>CUST-001</x:v>
      </x:c>
      <x:c r="O12" s="17" t="str">
        <x:v>Apollo Pharmacy Pvt Ltd</x:v>
      </x:c>
      <x:c r="P12" s="17" t="str">
        <x:v>Private</x:v>
      </x:c>
      <x:c r="Q12" s="17" t="str">
        <x:v>Due</x:v>
      </x:c>
      <x:c r="R12" s="31" t="n">
        <x:v>0.2</x:v>
      </x:c>
      <x:c r="S12" s="31" t="n">
        <x:v>0.24</x:v>
      </x:c>
      <x:c r="T12" s="31" t="n">
        <x:v>0.08</x:v>
      </x:c>
      <x:c r="U12" s="31" t="n">
        <x:v>0.16</x:v>
      </x:c>
      <x:c r="V12" s="31" t="n">
        <x:v>1.87</x:v>
      </x:c>
      <x:c r="W12" s="31" t="n">
        <x:v>0.52</x:v>
      </x:c>
      <x:c r="X12" s="31" t="n">
        <x:v>0.44</x:v>
      </x:c>
      <x:c r="Y12" s="31" t="n">
        <x:v>0.31</x:v>
      </x:c>
      <x:c r="Z12" s="31" t="n">
        <x:v>0.22</x:v>
      </x:c>
      <x:c r="AA12" s="32" t="n">
        <x:f>SUM(W12:Z12)</x:f>
        <x:v>1.49</x:v>
      </x:c>
      <x:c r="AB12" s="31" t="n">
        <x:v>0.07</x:v>
      </x:c>
      <x:c r="AC12" s="31" t="n">
        <x:v>0.06</x:v>
      </x:c>
      <x:c r="AD12" s="31" t="n">
        <x:v>0.12</x:v>
      </x:c>
      <x:c r="AE12" s="31" t="n">
        <x:v>0.02</x:v>
      </x:c>
      <x:c r="AF12" s="17" t="str">
        <x:v>AR-202602-001-D</x:v>
      </x:c>
      <x:c r="AG12" s="17" t="str">
        <x:v>SAMPLE</x:v>
      </x:c>
      <x:c r="AH12" s="30" t="n">
        <x:v>46081</x:v>
      </x:c>
      <x:c r="AI12" s="17" t="str">
        <x:v>Illustrative row</x:v>
      </x:c>
    </x:row>
    <x:row r="13">
      <x:c r="A13" s="30" t="n">
        <x:v>46081</x:v>
      </x:c>
      <x:c r="B13" s="17" t="str">
        <x:v>Monthly</x:v>
      </x:c>
      <x:c r="C13" s="17" t="str">
        <x:v>Yes</x:v>
      </x:c>
      <x:c r="D13" s="29" t="n">
        <x:f>YEAR(A13)</x:f>
        <x:v>2026</x:v>
      </x:c>
      <x:c r="E13" s="29" t="str">
        <x:f>"FY"&amp;IF(MONTH(A13)&gt;=4,YEAR(A13),YEAR(A13)-1)&amp;"-"&amp;RIGHT(IF(MONTH(A13)&gt;=4,YEAR(A13)+1,YEAR(A13))&amp;"",2)</x:f>
        <x:v>FY2025-26</x:v>
      </x:c>
      <x:c r="F13" s="29" t="str">
        <x:f>"Q"&amp;ROUNDUP(MONTH(A13)/3,0)&amp;" "&amp;YEAR(A13)</x:f>
        <x:v>Q1 2026</x:v>
      </x:c>
      <x:c r="G13" s="29" t="str">
        <x:f>TEXT(A13,"mmm yyyy")</x:f>
        <x:v>Feb 2026</x:v>
      </x:c>
      <x:c r="H13" s="29" t="n">
        <x:f>DAY(A13)</x:f>
        <x:v>28</x:v>
      </x:c>
      <x:c r="I13" s="17" t="str">
        <x:v>Neha Gupta</x:v>
      </x:c>
      <x:c r="J13" s="17" t="str">
        <x:v>Rohit Malhotra</x:v>
      </x:c>
      <x:c r="K13" s="17" t="str">
        <x:v>Sakshi Sharma</x:v>
      </x:c>
      <x:c r="L13" s="17" t="str">
        <x:v>Priya Nair</x:v>
      </x:c>
      <x:c r="M13" s="17" t="str">
        <x:v>Pune</x:v>
      </x:c>
      <x:c r="N13" s="17" t="str">
        <x:v>CUST-007</x:v>
      </x:c>
      <x:c r="O13" s="17" t="str">
        <x:v>Blue Star Limited</x:v>
      </x:c>
      <x:c r="P13" s="17" t="str">
        <x:v>Distributor</x:v>
      </x:c>
      <x:c r="Q13" s="17" t="str">
        <x:v>Not Due</x:v>
      </x:c>
      <x:c r="R13" s="31" t="n">
        <x:v>0.17</x:v>
      </x:c>
      <x:c r="S13" s="31" t="n">
        <x:v>0.21</x:v>
      </x:c>
      <x:c r="T13" s="31" t="n">
        <x:v>0.06</x:v>
      </x:c>
      <x:c r="U13" s="31" t="n">
        <x:v>0.14</x:v>
      </x:c>
      <x:c r="V13" s="31" t="n">
        <x:v>1.71</x:v>
      </x:c>
      <x:c r="W13" s="31" t="n">
        <x:v>0.58</x:v>
      </x:c>
      <x:c r="X13" s="31" t="n">
        <x:v>0.41</x:v>
      </x:c>
      <x:c r="Y13" s="31" t="n">
        <x:v>0.24</x:v>
      </x:c>
      <x:c r="Z13" s="31" t="n">
        <x:v>0.16</x:v>
      </x:c>
      <x:c r="AA13" s="32" t="n">
        <x:f>SUM(W13:Z13)</x:f>
        <x:v>1.39</x:v>
      </x:c>
      <x:c r="AB13" s="31" t="n">
        <x:v>0.06</x:v>
      </x:c>
      <x:c r="AC13" s="31" t="n">
        <x:v>0.05</x:v>
      </x:c>
      <x:c r="AD13" s="31" t="n">
        <x:v>0.1</x:v>
      </x:c>
      <x:c r="AE13" s="31" t="n">
        <x:v>0.01</x:v>
      </x:c>
      <x:c r="AF13" s="17" t="str">
        <x:v>AR-202602-007-N</x:v>
      </x:c>
      <x:c r="AG13" s="17" t="str">
        <x:v>SAMPLE</x:v>
      </x:c>
      <x:c r="AH13" s="30" t="n">
        <x:v>46081</x:v>
      </x:c>
      <x:c r="AI13" s="17" t="str">
        <x:v>Illustrative row</x:v>
      </x:c>
    </x:row>
    <x:row r="14">
      <x:c r="A14" s="30" t="n">
        <x:v>46081</x:v>
      </x:c>
      <x:c r="B14" s="17" t="str">
        <x:v>Monthly</x:v>
      </x:c>
      <x:c r="C14" s="17" t="str">
        <x:v>Yes</x:v>
      </x:c>
      <x:c r="D14" s="29" t="n">
        <x:f>YEAR(A14)</x:f>
        <x:v>2026</x:v>
      </x:c>
      <x:c r="E14" s="29" t="str">
        <x:f>"FY"&amp;IF(MONTH(A14)&gt;=4,YEAR(A14),YEAR(A14)-1)&amp;"-"&amp;RIGHT(IF(MONTH(A14)&gt;=4,YEAR(A14)+1,YEAR(A14))&amp;"",2)</x:f>
        <x:v>FY2025-26</x:v>
      </x:c>
      <x:c r="F14" s="29" t="str">
        <x:f>"Q"&amp;ROUNDUP(MONTH(A14)/3,0)&amp;" "&amp;YEAR(A14)</x:f>
        <x:v>Q1 2026</x:v>
      </x:c>
      <x:c r="G14" s="29" t="str">
        <x:f>TEXT(A14,"mmm yyyy")</x:f>
        <x:v>Feb 2026</x:v>
      </x:c>
      <x:c r="H14" s="29" t="n">
        <x:f>DAY(A14)</x:f>
        <x:v>28</x:v>
      </x:c>
      <x:c r="I14" s="17" t="str">
        <x:v>Riya Nair</x:v>
      </x:c>
      <x:c r="J14" s="17" t="str">
        <x:v>Rohit Malhotra</x:v>
      </x:c>
      <x:c r="K14" s="17" t="str">
        <x:v>Abhishek Sharma</x:v>
      </x:c>
      <x:c r="L14" s="17" t="str">
        <x:v>Ankit Verma</x:v>
      </x:c>
      <x:c r="M14" s="17" t="str">
        <x:v>Delhi</x:v>
      </x:c>
      <x:c r="N14" s="17" t="str">
        <x:v>CUST-013</x:v>
      </x:c>
      <x:c r="O14" s="17" t="str">
        <x:v>Varun Beverages</x:v>
      </x:c>
      <x:c r="P14" s="17" t="str">
        <x:v>Private</x:v>
      </x:c>
      <x:c r="Q14" s="17" t="str">
        <x:v>Due</x:v>
      </x:c>
      <x:c r="R14" s="31" t="n">
        <x:v>0.21</x:v>
      </x:c>
      <x:c r="S14" s="31" t="n">
        <x:v>0.25</x:v>
      </x:c>
      <x:c r="T14" s="31" t="n">
        <x:v>0.09</x:v>
      </x:c>
      <x:c r="U14" s="31" t="n">
        <x:v>0.17</x:v>
      </x:c>
      <x:c r="V14" s="31" t="n">
        <x:v>2.01</x:v>
      </x:c>
      <x:c r="W14" s="31" t="n">
        <x:v>0.49</x:v>
      </x:c>
      <x:c r="X14" s="31" t="n">
        <x:v>0.48</x:v>
      </x:c>
      <x:c r="Y14" s="31" t="n">
        <x:v>0.36</x:v>
      </x:c>
      <x:c r="Z14" s="31" t="n">
        <x:v>0.26</x:v>
      </x:c>
      <x:c r="AA14" s="32" t="n">
        <x:f>SUM(W14:Z14)</x:f>
        <x:v>1.59</x:v>
      </x:c>
      <x:c r="AB14" s="31" t="n">
        <x:v>0.08</x:v>
      </x:c>
      <x:c r="AC14" s="31" t="n">
        <x:v>0.1</x:v>
      </x:c>
      <x:c r="AD14" s="31" t="n">
        <x:v>0.14</x:v>
      </x:c>
      <x:c r="AE14" s="31" t="n">
        <x:v>0.02</x:v>
      </x:c>
      <x:c r="AF14" s="17" t="str">
        <x:v>AR-202602-013-D</x:v>
      </x:c>
      <x:c r="AG14" s="17" t="str">
        <x:v>SAMPLE</x:v>
      </x:c>
      <x:c r="AH14" s="30" t="n">
        <x:v>46081</x:v>
      </x:c>
      <x:c r="AI14" s="17" t="str">
        <x:v>Utilisation exceeds current-period additions</x:v>
      </x:c>
    </x:row>
    <x:row r="15">
      <x:c r="A15" s="30" t="n">
        <x:v>46081</x:v>
      </x:c>
      <x:c r="B15" s="17" t="str">
        <x:v>Monthly</x:v>
      </x:c>
      <x:c r="C15" s="17" t="str">
        <x:v>Yes</x:v>
      </x:c>
      <x:c r="D15" s="29" t="n">
        <x:f>YEAR(A15)</x:f>
        <x:v>2026</x:v>
      </x:c>
      <x:c r="E15" s="29" t="str">
        <x:f>"FY"&amp;IF(MONTH(A15)&gt;=4,YEAR(A15),YEAR(A15)-1)&amp;"-"&amp;RIGHT(IF(MONTH(A15)&gt;=4,YEAR(A15)+1,YEAR(A15))&amp;"",2)</x:f>
        <x:v>FY2025-26</x:v>
      </x:c>
      <x:c r="F15" s="29" t="str">
        <x:f>"Q"&amp;ROUNDUP(MONTH(A15)/3,0)&amp;" "&amp;YEAR(A15)</x:f>
        <x:v>Q1 2026</x:v>
      </x:c>
      <x:c r="G15" s="29" t="str">
        <x:f>TEXT(A15,"mmm yyyy")</x:f>
        <x:v>Feb 2026</x:v>
      </x:c>
      <x:c r="H15" s="29" t="n">
        <x:f>DAY(A15)</x:f>
        <x:v>28</x:v>
      </x:c>
      <x:c r="I15" s="17" t="str">
        <x:v>Vikram Das</x:v>
      </x:c>
      <x:c r="J15" s="17" t="str">
        <x:v>Mukesh Mishra</x:v>
      </x:c>
      <x:c r="K15" s="17" t="str">
        <x:v>Palak Choudhary</x:v>
      </x:c>
      <x:c r="L15" s="17" t="str">
        <x:v>Manish Kumar</x:v>
      </x:c>
      <x:c r="M15" s="17" t="str">
        <x:v>Bengaluru</x:v>
      </x:c>
      <x:c r="N15" s="17" t="str">
        <x:v>CUST-021</x:v>
      </x:c>
      <x:c r="O15" s="17" t="str">
        <x:v>Shiva Healthcare Pvt Ltd</x:v>
      </x:c>
      <x:c r="P15" s="17" t="str">
        <x:v>Public</x:v>
      </x:c>
      <x:c r="Q15" s="17" t="str">
        <x:v>Due</x:v>
      </x:c>
      <x:c r="R15" s="31" t="n">
        <x:v>0.18</x:v>
      </x:c>
      <x:c r="S15" s="31" t="n">
        <x:v>0.22</x:v>
      </x:c>
      <x:c r="T15" s="31" t="n">
        <x:v>0.07</x:v>
      </x:c>
      <x:c r="U15" s="31" t="n">
        <x:v>0.14</x:v>
      </x:c>
      <x:c r="V15" s="31" t="n">
        <x:v>1.78</x:v>
      </x:c>
      <x:c r="W15" s="31" t="n">
        <x:v>0.46</x:v>
      </x:c>
      <x:c r="X15" s="31" t="n">
        <x:v>0.43</x:v>
      </x:c>
      <x:c r="Y15" s="31" t="n">
        <x:v>0.33</x:v>
      </x:c>
      <x:c r="Z15" s="31" t="n">
        <x:v>0.24</x:v>
      </x:c>
      <x:c r="AA15" s="32" t="n">
        <x:f>SUM(W15:Z15)</x:f>
        <x:v>1.46</x:v>
      </x:c>
      <x:c r="AB15" s="31" t="n">
        <x:v>0.07</x:v>
      </x:c>
      <x:c r="AC15" s="31" t="n">
        <x:v>0.08</x:v>
      </x:c>
      <x:c r="AD15" s="31" t="n">
        <x:v>0.13</x:v>
      </x:c>
      <x:c r="AE15" s="31" t="n">
        <x:v>0.02</x:v>
      </x:c>
      <x:c r="AF15" s="17" t="str">
        <x:v>AR-202602-021-D</x:v>
      </x:c>
      <x:c r="AG15" s="17" t="str">
        <x:v>SAMPLE</x:v>
      </x:c>
      <x:c r="AH15" s="30" t="n">
        <x:v>46081</x:v>
      </x:c>
      <x:c r="AI15" s="17" t="str">
        <x:v>Illustrative row</x:v>
      </x:c>
    </x:row>
    <x:row r="16">
      <x:c r="A16" s="30" t="n">
        <x:v>46112</x:v>
      </x:c>
      <x:c r="B16" s="17" t="str">
        <x:v>Monthly</x:v>
      </x:c>
      <x:c r="C16" s="17" t="str">
        <x:v>Yes</x:v>
      </x:c>
      <x:c r="D16" s="29" t="n">
        <x:f>YEAR(A16)</x:f>
        <x:v>2026</x:v>
      </x:c>
      <x:c r="E16" s="29" t="str">
        <x:f>"FY"&amp;IF(MONTH(A16)&gt;=4,YEAR(A16),YEAR(A16)-1)&amp;"-"&amp;RIGHT(IF(MONTH(A16)&gt;=4,YEAR(A16)+1,YEAR(A16))&amp;"",2)</x:f>
        <x:v>FY2025-26</x:v>
      </x:c>
      <x:c r="F16" s="29" t="str">
        <x:f>"Q"&amp;ROUNDUP(MONTH(A16)/3,0)&amp;" "&amp;YEAR(A16)</x:f>
        <x:v>Q1 2026</x:v>
      </x:c>
      <x:c r="G16" s="29" t="str">
        <x:f>TEXT(A16,"mmm yyyy")</x:f>
        <x:v>Mar 2026</x:v>
      </x:c>
      <x:c r="H16" s="29" t="n">
        <x:f>DAY(A16)</x:f>
        <x:v>31</x:v>
      </x:c>
      <x:c r="I16" s="17" t="str">
        <x:v>Devashish Agent1</x:v>
      </x:c>
      <x:c r="J16" s="17" t="str">
        <x:v>Rohit Malhotra</x:v>
      </x:c>
      <x:c r="K16" s="17" t="str">
        <x:v>Sakshi Sharma</x:v>
      </x:c>
      <x:c r="L16" s="17" t="str">
        <x:v>Ravi Singh</x:v>
      </x:c>
      <x:c r="M16" s="17" t="str">
        <x:v>Mumbai</x:v>
      </x:c>
      <x:c r="N16" s="17" t="str">
        <x:v>CUST-001</x:v>
      </x:c>
      <x:c r="O16" s="17" t="str">
        <x:v>Apollo Pharmacy Pvt Ltd</x:v>
      </x:c>
      <x:c r="P16" s="17" t="str">
        <x:v>Private</x:v>
      </x:c>
      <x:c r="Q16" s="17" t="str">
        <x:v>Due</x:v>
      </x:c>
      <x:c r="R16" s="31" t="n">
        <x:v>0.22</x:v>
      </x:c>
      <x:c r="S16" s="31" t="n">
        <x:v>0.26</x:v>
      </x:c>
      <x:c r="T16" s="31" t="n">
        <x:v>0.08</x:v>
      </x:c>
      <x:c r="U16" s="31" t="n">
        <x:v>0.17</x:v>
      </x:c>
      <x:c r="V16" s="31" t="n">
        <x:v>1.91</x:v>
      </x:c>
      <x:c r="W16" s="31" t="n">
        <x:v>0.5</x:v>
      </x:c>
      <x:c r="X16" s="31" t="n">
        <x:v>0.45</x:v>
      </x:c>
      <x:c r="Y16" s="31" t="n">
        <x:v>0.34</x:v>
      </x:c>
      <x:c r="Z16" s="31" t="n">
        <x:v>0.25</x:v>
      </x:c>
      <x:c r="AA16" s="32" t="n">
        <x:f>SUM(W16:Z16)</x:f>
        <x:v>1.54</x:v>
      </x:c>
      <x:c r="AB16" s="31" t="n">
        <x:v>0.08</x:v>
      </x:c>
      <x:c r="AC16" s="31" t="n">
        <x:v>0.07</x:v>
      </x:c>
      <x:c r="AD16" s="31" t="n">
        <x:v>0.13</x:v>
      </x:c>
      <x:c r="AE16" s="31" t="n">
        <x:v>0.02</x:v>
      </x:c>
      <x:c r="AF16" s="17" t="str">
        <x:v>AR-202603-001-D</x:v>
      </x:c>
      <x:c r="AG16" s="17" t="str">
        <x:v>SAMPLE</x:v>
      </x:c>
      <x:c r="AH16" s="30" t="n">
        <x:v>46112</x:v>
      </x:c>
      <x:c r="AI16" s="17" t="str">
        <x:v>Illustrative row</x:v>
      </x:c>
    </x:row>
    <x:row r="17">
      <x:c r="A17" s="30" t="n">
        <x:v>46112</x:v>
      </x:c>
      <x:c r="B17" s="17" t="str">
        <x:v>Monthly</x:v>
      </x:c>
      <x:c r="C17" s="17" t="str">
        <x:v>Yes</x:v>
      </x:c>
      <x:c r="D17" s="29" t="n">
        <x:f>YEAR(A17)</x:f>
        <x:v>2026</x:v>
      </x:c>
      <x:c r="E17" s="29" t="str">
        <x:f>"FY"&amp;IF(MONTH(A17)&gt;=4,YEAR(A17),YEAR(A17)-1)&amp;"-"&amp;RIGHT(IF(MONTH(A17)&gt;=4,YEAR(A17)+1,YEAR(A17))&amp;"",2)</x:f>
        <x:v>FY2025-26</x:v>
      </x:c>
      <x:c r="F17" s="29" t="str">
        <x:f>"Q"&amp;ROUNDUP(MONTH(A17)/3,0)&amp;" "&amp;YEAR(A17)</x:f>
        <x:v>Q1 2026</x:v>
      </x:c>
      <x:c r="G17" s="29" t="str">
        <x:f>TEXT(A17,"mmm yyyy")</x:f>
        <x:v>Mar 2026</x:v>
      </x:c>
      <x:c r="H17" s="29" t="n">
        <x:f>DAY(A17)</x:f>
        <x:v>31</x:v>
      </x:c>
      <x:c r="I17" s="17" t="str">
        <x:v>Neha Gupta</x:v>
      </x:c>
      <x:c r="J17" s="17" t="str">
        <x:v>Rohit Malhotra</x:v>
      </x:c>
      <x:c r="K17" s="17" t="str">
        <x:v>Sakshi Sharma</x:v>
      </x:c>
      <x:c r="L17" s="17" t="str">
        <x:v>Priya Nair</x:v>
      </x:c>
      <x:c r="M17" s="17" t="str">
        <x:v>Pune</x:v>
      </x:c>
      <x:c r="N17" s="17" t="str">
        <x:v>CUST-007</x:v>
      </x:c>
      <x:c r="O17" s="17" t="str">
        <x:v>Blue Star Limited</x:v>
      </x:c>
      <x:c r="P17" s="17" t="str">
        <x:v>Distributor</x:v>
      </x:c>
      <x:c r="Q17" s="17" t="str">
        <x:v>Not Due</x:v>
      </x:c>
      <x:c r="R17" s="31" t="n">
        <x:v>0.19</x:v>
      </x:c>
      <x:c r="S17" s="31" t="n">
        <x:v>0.23</x:v>
      </x:c>
      <x:c r="T17" s="31" t="n">
        <x:v>0.06</x:v>
      </x:c>
      <x:c r="U17" s="31" t="n">
        <x:v>0.15</x:v>
      </x:c>
      <x:c r="V17" s="31" t="n">
        <x:v>1.76</x:v>
      </x:c>
      <x:c r="W17" s="31" t="n">
        <x:v>0.56</x:v>
      </x:c>
      <x:c r="X17" s="31" t="n">
        <x:v>0.42</x:v>
      </x:c>
      <x:c r="Y17" s="31" t="n">
        <x:v>0.27</x:v>
      </x:c>
      <x:c r="Z17" s="31" t="n">
        <x:v>0.18</x:v>
      </x:c>
      <x:c r="AA17" s="32" t="n">
        <x:f>SUM(W17:Z17)</x:f>
        <x:v>1.43</x:v>
      </x:c>
      <x:c r="AB17" s="31" t="n">
        <x:v>0.07</x:v>
      </x:c>
      <x:c r="AC17" s="31" t="n">
        <x:v>0.06</x:v>
      </x:c>
      <x:c r="AD17" s="31" t="n">
        <x:v>0.11</x:v>
      </x:c>
      <x:c r="AE17" s="31" t="n">
        <x:v>0.01</x:v>
      </x:c>
      <x:c r="AF17" s="17" t="str">
        <x:v>AR-202603-007-N</x:v>
      </x:c>
      <x:c r="AG17" s="17" t="str">
        <x:v>SAMPLE</x:v>
      </x:c>
      <x:c r="AH17" s="30" t="n">
        <x:v>46112</x:v>
      </x:c>
      <x:c r="AI17" s="17" t="str">
        <x:v>Illustrative row</x:v>
      </x:c>
    </x:row>
    <x:row r="18">
      <x:c r="A18" s="30" t="n">
        <x:v>46112</x:v>
      </x:c>
      <x:c r="B18" s="17" t="str">
        <x:v>Monthly</x:v>
      </x:c>
      <x:c r="C18" s="17" t="str">
        <x:v>Yes</x:v>
      </x:c>
      <x:c r="D18" s="29" t="n">
        <x:f>YEAR(A18)</x:f>
        <x:v>2026</x:v>
      </x:c>
      <x:c r="E18" s="29" t="str">
        <x:f>"FY"&amp;IF(MONTH(A18)&gt;=4,YEAR(A18),YEAR(A18)-1)&amp;"-"&amp;RIGHT(IF(MONTH(A18)&gt;=4,YEAR(A18)+1,YEAR(A18))&amp;"",2)</x:f>
        <x:v>FY2025-26</x:v>
      </x:c>
      <x:c r="F18" s="29" t="str">
        <x:f>"Q"&amp;ROUNDUP(MONTH(A18)/3,0)&amp;" "&amp;YEAR(A18)</x:f>
        <x:v>Q1 2026</x:v>
      </x:c>
      <x:c r="G18" s="29" t="str">
        <x:f>TEXT(A18,"mmm yyyy")</x:f>
        <x:v>Mar 2026</x:v>
      </x:c>
      <x:c r="H18" s="29" t="n">
        <x:f>DAY(A18)</x:f>
        <x:v>31</x:v>
      </x:c>
      <x:c r="I18" s="17" t="str">
        <x:v>Riya Nair</x:v>
      </x:c>
      <x:c r="J18" s="17" t="str">
        <x:v>Rohit Malhotra</x:v>
      </x:c>
      <x:c r="K18" s="17" t="str">
        <x:v>Abhishek Sharma</x:v>
      </x:c>
      <x:c r="L18" s="17" t="str">
        <x:v>Ankit Verma</x:v>
      </x:c>
      <x:c r="M18" s="17" t="str">
        <x:v>Delhi</x:v>
      </x:c>
      <x:c r="N18" s="17" t="str">
        <x:v>CUST-013</x:v>
      </x:c>
      <x:c r="O18" s="17" t="str">
        <x:v>Varun Beverages</x:v>
      </x:c>
      <x:c r="P18" s="17" t="str">
        <x:v>Private</x:v>
      </x:c>
      <x:c r="Q18" s="17" t="str">
        <x:v>Due</x:v>
      </x:c>
      <x:c r="R18" s="31" t="n">
        <x:v>0.23</x:v>
      </x:c>
      <x:c r="S18" s="31" t="n">
        <x:v>0.27</x:v>
      </x:c>
      <x:c r="T18" s="31" t="n">
        <x:v>0.1</x:v>
      </x:c>
      <x:c r="U18" s="31" t="n">
        <x:v>0.18</x:v>
      </x:c>
      <x:c r="V18" s="31" t="n">
        <x:v>2.06</x:v>
      </x:c>
      <x:c r="W18" s="31" t="n">
        <x:v>0.47</x:v>
      </x:c>
      <x:c r="X18" s="31" t="n">
        <x:v>0.5</x:v>
      </x:c>
      <x:c r="Y18" s="31" t="n">
        <x:v>0.38</x:v>
      </x:c>
      <x:c r="Z18" s="31" t="n">
        <x:v>0.29</x:v>
      </x:c>
      <x:c r="AA18" s="32" t="n">
        <x:f>SUM(W18:Z18)</x:f>
        <x:v>1.6400000000000001</x:v>
      </x:c>
      <x:c r="AB18" s="31" t="n">
        <x:v>0.09</x:v>
      </x:c>
      <x:c r="AC18" s="31" t="n">
        <x:v>0.11</x:v>
      </x:c>
      <x:c r="AD18" s="31" t="n">
        <x:v>0.15</x:v>
      </x:c>
      <x:c r="AE18" s="31" t="n">
        <x:v>0.03</x:v>
      </x:c>
      <x:c r="AF18" s="17" t="str">
        <x:v>AR-202603-013-D</x:v>
      </x:c>
      <x:c r="AG18" s="17" t="str">
        <x:v>SAMPLE</x:v>
      </x:c>
      <x:c r="AH18" s="30" t="n">
        <x:v>46112</x:v>
      </x:c>
      <x:c r="AI18" s="17" t="str">
        <x:v>Utilisation may include carry-forward</x:v>
      </x:c>
    </x:row>
    <x:row r="19">
      <x:c r="A19" s="30" t="n">
        <x:v>46112</x:v>
      </x:c>
      <x:c r="B19" s="17" t="str">
        <x:v>Monthly</x:v>
      </x:c>
      <x:c r="C19" s="17" t="str">
        <x:v>Yes</x:v>
      </x:c>
      <x:c r="D19" s="29" t="n">
        <x:f>YEAR(A19)</x:f>
        <x:v>2026</x:v>
      </x:c>
      <x:c r="E19" s="29" t="str">
        <x:f>"FY"&amp;IF(MONTH(A19)&gt;=4,YEAR(A19),YEAR(A19)-1)&amp;"-"&amp;RIGHT(IF(MONTH(A19)&gt;=4,YEAR(A19)+1,YEAR(A19))&amp;"",2)</x:f>
        <x:v>FY2025-26</x:v>
      </x:c>
      <x:c r="F19" s="29" t="str">
        <x:f>"Q"&amp;ROUNDUP(MONTH(A19)/3,0)&amp;" "&amp;YEAR(A19)</x:f>
        <x:v>Q1 2026</x:v>
      </x:c>
      <x:c r="G19" s="29" t="str">
        <x:f>TEXT(A19,"mmm yyyy")</x:f>
        <x:v>Mar 2026</x:v>
      </x:c>
      <x:c r="H19" s="29" t="n">
        <x:f>DAY(A19)</x:f>
        <x:v>31</x:v>
      </x:c>
      <x:c r="I19" s="17" t="str">
        <x:v>Vikram Das</x:v>
      </x:c>
      <x:c r="J19" s="17" t="str">
        <x:v>Mukesh Mishra</x:v>
      </x:c>
      <x:c r="K19" s="17" t="str">
        <x:v>Palak Choudhary</x:v>
      </x:c>
      <x:c r="L19" s="17" t="str">
        <x:v>Manish Kumar</x:v>
      </x:c>
      <x:c r="M19" s="17" t="str">
        <x:v>Bengaluru</x:v>
      </x:c>
      <x:c r="N19" s="17" t="str">
        <x:v>CUST-021</x:v>
      </x:c>
      <x:c r="O19" s="17" t="str">
        <x:v>Shiva Healthcare Pvt Ltd</x:v>
      </x:c>
      <x:c r="P19" s="17" t="str">
        <x:v>Public</x:v>
      </x:c>
      <x:c r="Q19" s="17" t="str">
        <x:v>Due</x:v>
      </x:c>
      <x:c r="R19" s="31" t="n">
        <x:v>0.2</x:v>
      </x:c>
      <x:c r="S19" s="31" t="n">
        <x:v>0.24</x:v>
      </x:c>
      <x:c r="T19" s="31" t="n">
        <x:v>0.07</x:v>
      </x:c>
      <x:c r="U19" s="31" t="n">
        <x:v>0.16</x:v>
      </x:c>
      <x:c r="V19" s="31" t="n">
        <x:v>1.82</x:v>
      </x:c>
      <x:c r="W19" s="31" t="n">
        <x:v>0.44</x:v>
      </x:c>
      <x:c r="X19" s="31" t="n">
        <x:v>0.45</x:v>
      </x:c>
      <x:c r="Y19" s="31" t="n">
        <x:v>0.35</x:v>
      </x:c>
      <x:c r="Z19" s="31" t="n">
        <x:v>0.27</x:v>
      </x:c>
      <x:c r="AA19" s="32" t="n">
        <x:f>SUM(W19:Z19)</x:f>
        <x:v>1.51</x:v>
      </x:c>
      <x:c r="AB19" s="31" t="n">
        <x:v>0.08</x:v>
      </x:c>
      <x:c r="AC19" s="31" t="n">
        <x:v>0.09</x:v>
      </x:c>
      <x:c r="AD19" s="31" t="n">
        <x:v>0.14</x:v>
      </x:c>
      <x:c r="AE19" s="31" t="n">
        <x:v>0.02</x:v>
      </x:c>
      <x:c r="AF19" s="17" t="str">
        <x:v>AR-202603-021-D</x:v>
      </x:c>
      <x:c r="AG19" s="17" t="str">
        <x:v>SAMPLE</x:v>
      </x:c>
      <x:c r="AH19" s="30" t="n">
        <x:v>46112</x:v>
      </x:c>
      <x:c r="AI19" s="17" t="str">
        <x:v>Illustrative row</x:v>
      </x:c>
    </x:row>
  </x:sheetData>
  <x:mergeCells>
    <x:mergeCell ref="A1:AI1"/>
    <x:mergeCell ref="A2:AI2"/>
    <x:mergeCell ref="A4:AI4"/>
  </x:mergeCells>
  <x:dataValidations count="4">
    <x:dataValidation type="list" sqref="B8:B200">
      <x:formula1>Lists!$A$2:$A$3</x:formula1>
    </x:dataValidation>
    <x:dataValidation type="list" sqref="C8:C200">
      <x:formula1>Lists!$B$2:$B$3</x:formula1>
    </x:dataValidation>
    <x:dataValidation type="list" sqref="P8:P200">
      <x:formula1>Lists!$C$2:$C$6</x:formula1>
    </x:dataValidation>
    <x:dataValidation type="list" sqref="Q8:Q200">
      <x:formula1>Lists!$D$2:$D$3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13" hidden="0" customWidth="1"/>
    <x:col min="4" max="4" width="17" hidden="0" customWidth="1"/>
    <x:col min="5" max="5" width="14" hidden="0" customWidth="1"/>
    <x:col min="6" max="6" width="20" hidden="0" customWidth="1"/>
    <x:col min="7" max="7" width="20" hidden="0" customWidth="1"/>
    <x:col min="8" max="8" width="19" hidden="0" customWidth="1"/>
    <x:col min="9" max="9" width="17" hidden="0" customWidth="1"/>
    <x:col min="10" max="10" width="14" hidden="0" customWidth="1"/>
    <x:col min="11" max="11" width="28" hidden="0" customWidth="1"/>
    <x:col min="12" max="12" width="13" hidden="0" customWidth="1"/>
    <x:col min="13" max="13" width="19" hidden="0" customWidth="1"/>
    <x:col min="14" max="14" width="12" hidden="0" customWidth="1"/>
    <x:col min="15" max="15" width="20" hidden="0" customWidth="1"/>
    <x:col min="16" max="16" width="14" hidden="0" customWidth="1"/>
    <x:col min="17" max="17" width="30" hidden="0" customWidth="1"/>
  </x:cols>
  <x:sheetData>
    <x:row r="1" ht="30" customHeight="1">
      <x:c r="A1" s="3" t="str">
        <x:v>Visit Data</x:v>
      </x:c>
    </x:row>
    <x:row r="2" ht="32" customHeight="1">
      <x:c r="A2" s="7" t="str">
        <x:v>One row per customer visit. The chart calculates Total visits by SUM(Visit Count), Unique visits by distinct Customer ID per displayed period, and Repeat visits as Total minus Unique.</x:v>
      </x:c>
    </x:row>
    <x:row r="4">
      <x:c r="A4" s="28" t="str">
        <x:v>Card filters: Agent, Manager, KAM, KAS and Due / Not Due. Customer is a separate searchable multi-select ordered by visit count.</x:v>
      </x:c>
    </x:row>
    <x:row r="7" ht="34" customHeight="1">
      <x:c r="A7" s="14" t="str">
        <x:v>Visit Date</x:v>
      </x:c>
      <x:c r="B7" s="14" t="str">
        <x:v>Year</x:v>
      </x:c>
      <x:c r="C7" s="14" t="str">
        <x:v>Fiscal Year</x:v>
      </x:c>
      <x:c r="D7" s="14" t="str">
        <x:v>Calendar Quarter</x:v>
      </x:c>
      <x:c r="E7" s="14" t="str">
        <x:v>Month</x:v>
      </x:c>
      <x:c r="F7" s="14" t="str">
        <x:v>Agent</x:v>
      </x:c>
      <x:c r="G7" s="14" t="str">
        <x:v>Manager</x:v>
      </x:c>
      <x:c r="H7" s="14" t="str">
        <x:v>KAM</x:v>
      </x:c>
      <x:c r="I7" s="14" t="str">
        <x:v>KAS</x:v>
      </x:c>
      <x:c r="J7" s="14" t="str">
        <x:v>Customer ID</x:v>
      </x:c>
      <x:c r="K7" s="14" t="str">
        <x:v>Customer Name</x:v>
      </x:c>
      <x:c r="L7" s="14" t="str">
        <x:v>Due Status</x:v>
      </x:c>
      <x:c r="M7" s="14" t="str">
        <x:v>Visit ID</x:v>
      </x:c>
      <x:c r="N7" s="14" t="str">
        <x:v>Visit Count</x:v>
      </x:c>
      <x:c r="O7" s="14" t="str">
        <x:v>Source Record ID</x:v>
      </x:c>
      <x:c r="P7" s="14" t="str">
        <x:v>Data As Of</x:v>
      </x:c>
      <x:c r="Q7" s="14" t="str">
        <x:v>Notes</x:v>
      </x:c>
    </x:row>
    <x:row r="8">
      <x:c r="A8" s="30" t="n">
        <x:v>46025</x:v>
      </x:c>
      <x:c r="B8" s="29" t="n">
        <x:f>YEAR(A8)</x:f>
        <x:v>2026</x:v>
      </x:c>
      <x:c r="C8" s="29" t="str">
        <x:f>"FY"&amp;IF(MONTH(A8)&gt;=4,YEAR(A8),YEAR(A8)-1)&amp;"-"&amp;RIGHT(IF(MONTH(A8)&gt;=4,YEAR(A8)+1,YEAR(A8))&amp;"",2)</x:f>
        <x:v>FY2025-26</x:v>
      </x:c>
      <x:c r="D8" s="29" t="str">
        <x:f>"Q"&amp;ROUNDUP(MONTH(A8)/3,0)&amp;" "&amp;YEAR(A8)</x:f>
        <x:v>Q1 2026</x:v>
      </x:c>
      <x:c r="E8" s="29" t="str">
        <x:f>TEXT(A8,"mmm yyyy")</x:f>
        <x:v>Jan 2026</x:v>
      </x:c>
      <x:c r="F8" s="17" t="str">
        <x:v>Devashish Agent1</x:v>
      </x:c>
      <x:c r="G8" s="17" t="str">
        <x:v>Rohit Malhotra</x:v>
      </x:c>
      <x:c r="H8" s="17" t="str">
        <x:v>Sakshi Sharma</x:v>
      </x:c>
      <x:c r="I8" s="17" t="str">
        <x:v>Ravi Singh</x:v>
      </x:c>
      <x:c r="J8" s="17" t="str">
        <x:v>CUST-001</x:v>
      </x:c>
      <x:c r="K8" s="17" t="str">
        <x:v>Apollo Pharmacy Pvt Ltd</x:v>
      </x:c>
      <x:c r="L8" s="17" t="str">
        <x:v>Due</x:v>
      </x:c>
      <x:c r="M8" s="17" t="str">
        <x:v>VIS-202601-001</x:v>
      </x:c>
      <x:c r="N8" s="17" t="n">
        <x:v>1</x:v>
      </x:c>
      <x:c r="O8" s="17" t="str">
        <x:v>VIS-SRC-001</x:v>
      </x:c>
      <x:c r="P8" s="30" t="n">
        <x:v>46112</x:v>
      </x:c>
      <x:c r="Q8" s="17" t="str">
        <x:v>Sample event</x:v>
      </x:c>
    </x:row>
    <x:row r="9">
      <x:c r="A9" s="30" t="n">
        <x:v>46027</x:v>
      </x:c>
      <x:c r="B9" s="29" t="n">
        <x:f>YEAR(A9)</x:f>
        <x:v>2026</x:v>
      </x:c>
      <x:c r="C9" s="29" t="str">
        <x:f>"FY"&amp;IF(MONTH(A9)&gt;=4,YEAR(A9),YEAR(A9)-1)&amp;"-"&amp;RIGHT(IF(MONTH(A9)&gt;=4,YEAR(A9)+1,YEAR(A9))&amp;"",2)</x:f>
        <x:v>FY2025-26</x:v>
      </x:c>
      <x:c r="D9" s="29" t="str">
        <x:f>"Q"&amp;ROUNDUP(MONTH(A9)/3,0)&amp;" "&amp;YEAR(A9)</x:f>
        <x:v>Q1 2026</x:v>
      </x:c>
      <x:c r="E9" s="29" t="str">
        <x:f>TEXT(A9,"mmm yyyy")</x:f>
        <x:v>Jan 2026</x:v>
      </x:c>
      <x:c r="F9" s="17" t="str">
        <x:v>Neha Gupta</x:v>
      </x:c>
      <x:c r="G9" s="17" t="str">
        <x:v>Rohit Malhotra</x:v>
      </x:c>
      <x:c r="H9" s="17" t="str">
        <x:v>Sakshi Sharma</x:v>
      </x:c>
      <x:c r="I9" s="17" t="str">
        <x:v>Priya Nair</x:v>
      </x:c>
      <x:c r="J9" s="17" t="str">
        <x:v>CUST-007</x:v>
      </x:c>
      <x:c r="K9" s="17" t="str">
        <x:v>Blue Star Limited</x:v>
      </x:c>
      <x:c r="L9" s="17" t="str">
        <x:v>Not Due</x:v>
      </x:c>
      <x:c r="M9" s="17" t="str">
        <x:v>VIS-202601-002</x:v>
      </x:c>
      <x:c r="N9" s="17" t="n">
        <x:v>1</x:v>
      </x:c>
      <x:c r="O9" s="17" t="str">
        <x:v>VIS-SRC-002</x:v>
      </x:c>
      <x:c r="P9" s="30" t="n">
        <x:v>46112</x:v>
      </x:c>
      <x:c r="Q9" s="17" t="str">
        <x:v>Sample event</x:v>
      </x:c>
    </x:row>
    <x:row r="10">
      <x:c r="A10" s="30" t="n">
        <x:v>46030</x:v>
      </x:c>
      <x:c r="B10" s="29" t="n">
        <x:f>YEAR(A10)</x:f>
        <x:v>2026</x:v>
      </x:c>
      <x:c r="C10" s="29" t="str">
        <x:f>"FY"&amp;IF(MONTH(A10)&gt;=4,YEAR(A10),YEAR(A10)-1)&amp;"-"&amp;RIGHT(IF(MONTH(A10)&gt;=4,YEAR(A10)+1,YEAR(A10))&amp;"",2)</x:f>
        <x:v>FY2025-26</x:v>
      </x:c>
      <x:c r="D10" s="29" t="str">
        <x:f>"Q"&amp;ROUNDUP(MONTH(A10)/3,0)&amp;" "&amp;YEAR(A10)</x:f>
        <x:v>Q1 2026</x:v>
      </x:c>
      <x:c r="E10" s="29" t="str">
        <x:f>TEXT(A10,"mmm yyyy")</x:f>
        <x:v>Jan 2026</x:v>
      </x:c>
      <x:c r="F10" s="17" t="str">
        <x:v>Riya Nair</x:v>
      </x:c>
      <x:c r="G10" s="17" t="str">
        <x:v>Rohit Malhotra</x:v>
      </x:c>
      <x:c r="H10" s="17" t="str">
        <x:v>Abhishek Sharma</x:v>
      </x:c>
      <x:c r="I10" s="17" t="str">
        <x:v>Ankit Verma</x:v>
      </x:c>
      <x:c r="J10" s="17" t="str">
        <x:v>CUST-013</x:v>
      </x:c>
      <x:c r="K10" s="17" t="str">
        <x:v>Varun Beverages</x:v>
      </x:c>
      <x:c r="L10" s="17" t="str">
        <x:v>Due</x:v>
      </x:c>
      <x:c r="M10" s="17" t="str">
        <x:v>VIS-202601-003</x:v>
      </x:c>
      <x:c r="N10" s="17" t="n">
        <x:v>1</x:v>
      </x:c>
      <x:c r="O10" s="17" t="str">
        <x:v>VIS-SRC-003</x:v>
      </x:c>
      <x:c r="P10" s="30" t="n">
        <x:v>46112</x:v>
      </x:c>
      <x:c r="Q10" s="17" t="str">
        <x:v>Sample event</x:v>
      </x:c>
    </x:row>
    <x:row r="11">
      <x:c r="A11" s="30" t="n">
        <x:v>46033</x:v>
      </x:c>
      <x:c r="B11" s="29" t="n">
        <x:f>YEAR(A11)</x:f>
        <x:v>2026</x:v>
      </x:c>
      <x:c r="C11" s="29" t="str">
        <x:f>"FY"&amp;IF(MONTH(A11)&gt;=4,YEAR(A11),YEAR(A11)-1)&amp;"-"&amp;RIGHT(IF(MONTH(A11)&gt;=4,YEAR(A11)+1,YEAR(A11))&amp;"",2)</x:f>
        <x:v>FY2025-26</x:v>
      </x:c>
      <x:c r="D11" s="29" t="str">
        <x:f>"Q"&amp;ROUNDUP(MONTH(A11)/3,0)&amp;" "&amp;YEAR(A11)</x:f>
        <x:v>Q1 2026</x:v>
      </x:c>
      <x:c r="E11" s="29" t="str">
        <x:f>TEXT(A11,"mmm yyyy")</x:f>
        <x:v>Jan 2026</x:v>
      </x:c>
      <x:c r="F11" s="17" t="str">
        <x:v>Devashish Agent1</x:v>
      </x:c>
      <x:c r="G11" s="17" t="str">
        <x:v>Rohit Malhotra</x:v>
      </x:c>
      <x:c r="H11" s="17" t="str">
        <x:v>Sakshi Sharma</x:v>
      </x:c>
      <x:c r="I11" s="17" t="str">
        <x:v>Ravi Singh</x:v>
      </x:c>
      <x:c r="J11" s="17" t="str">
        <x:v>CUST-001</x:v>
      </x:c>
      <x:c r="K11" s="17" t="str">
        <x:v>Apollo Pharmacy Pvt Ltd</x:v>
      </x:c>
      <x:c r="L11" s="17" t="str">
        <x:v>Due</x:v>
      </x:c>
      <x:c r="M11" s="17" t="str">
        <x:v>VIS-202601-004</x:v>
      </x:c>
      <x:c r="N11" s="17" t="n">
        <x:v>1</x:v>
      </x:c>
      <x:c r="O11" s="17" t="str">
        <x:v>VIS-SRC-004</x:v>
      </x:c>
      <x:c r="P11" s="30" t="n">
        <x:v>46112</x:v>
      </x:c>
      <x:c r="Q11" s="17" t="str">
        <x:v>Repeat customer in January</x:v>
      </x:c>
    </x:row>
    <x:row r="12">
      <x:c r="A12" s="30" t="n">
        <x:v>46040</x:v>
      </x:c>
      <x:c r="B12" s="29" t="n">
        <x:f>YEAR(A12)</x:f>
        <x:v>2026</x:v>
      </x:c>
      <x:c r="C12" s="29" t="str">
        <x:f>"FY"&amp;IF(MONTH(A12)&gt;=4,YEAR(A12),YEAR(A12)-1)&amp;"-"&amp;RIGHT(IF(MONTH(A12)&gt;=4,YEAR(A12)+1,YEAR(A12))&amp;"",2)</x:f>
        <x:v>FY2025-26</x:v>
      </x:c>
      <x:c r="D12" s="29" t="str">
        <x:f>"Q"&amp;ROUNDUP(MONTH(A12)/3,0)&amp;" "&amp;YEAR(A12)</x:f>
        <x:v>Q1 2026</x:v>
      </x:c>
      <x:c r="E12" s="29" t="str">
        <x:f>TEXT(A12,"mmm yyyy")</x:f>
        <x:v>Jan 2026</x:v>
      </x:c>
      <x:c r="F12" s="17" t="str">
        <x:v>Vikram Das</x:v>
      </x:c>
      <x:c r="G12" s="17" t="str">
        <x:v>Mukesh Mishra</x:v>
      </x:c>
      <x:c r="H12" s="17" t="str">
        <x:v>Palak Choudhary</x:v>
      </x:c>
      <x:c r="I12" s="17" t="str">
        <x:v>Manish Kumar</x:v>
      </x:c>
      <x:c r="J12" s="17" t="str">
        <x:v>CUST-021</x:v>
      </x:c>
      <x:c r="K12" s="17" t="str">
        <x:v>Shiva Healthcare Pvt Ltd</x:v>
      </x:c>
      <x:c r="L12" s="17" t="str">
        <x:v>Due</x:v>
      </x:c>
      <x:c r="M12" s="17" t="str">
        <x:v>VIS-202601-005</x:v>
      </x:c>
      <x:c r="N12" s="17" t="n">
        <x:v>1</x:v>
      </x:c>
      <x:c r="O12" s="17" t="str">
        <x:v>VIS-SRC-005</x:v>
      </x:c>
      <x:c r="P12" s="30" t="n">
        <x:v>46112</x:v>
      </x:c>
      <x:c r="Q12" s="17" t="str">
        <x:v>Sample event</x:v>
      </x:c>
    </x:row>
    <x:row r="13">
      <x:c r="A13" s="30" t="n">
        <x:v>46055</x:v>
      </x:c>
      <x:c r="B13" s="29" t="n">
        <x:f>YEAR(A13)</x:f>
        <x:v>2026</x:v>
      </x:c>
      <x:c r="C13" s="29" t="str">
        <x:f>"FY"&amp;IF(MONTH(A13)&gt;=4,YEAR(A13),YEAR(A13)-1)&amp;"-"&amp;RIGHT(IF(MONTH(A13)&gt;=4,YEAR(A13)+1,YEAR(A13))&amp;"",2)</x:f>
        <x:v>FY2025-26</x:v>
      </x:c>
      <x:c r="D13" s="29" t="str">
        <x:f>"Q"&amp;ROUNDUP(MONTH(A13)/3,0)&amp;" "&amp;YEAR(A13)</x:f>
        <x:v>Q1 2026</x:v>
      </x:c>
      <x:c r="E13" s="29" t="str">
        <x:f>TEXT(A13,"mmm yyyy")</x:f>
        <x:v>Feb 2026</x:v>
      </x:c>
      <x:c r="F13" s="17" t="str">
        <x:v>Devashish Agent1</x:v>
      </x:c>
      <x:c r="G13" s="17" t="str">
        <x:v>Rohit Malhotra</x:v>
      </x:c>
      <x:c r="H13" s="17" t="str">
        <x:v>Sakshi Sharma</x:v>
      </x:c>
      <x:c r="I13" s="17" t="str">
        <x:v>Ravi Singh</x:v>
      </x:c>
      <x:c r="J13" s="17" t="str">
        <x:v>CUST-001</x:v>
      </x:c>
      <x:c r="K13" s="17" t="str">
        <x:v>Apollo Pharmacy Pvt Ltd</x:v>
      </x:c>
      <x:c r="L13" s="17" t="str">
        <x:v>Due</x:v>
      </x:c>
      <x:c r="M13" s="17" t="str">
        <x:v>VIS-202602-001</x:v>
      </x:c>
      <x:c r="N13" s="17" t="n">
        <x:v>1</x:v>
      </x:c>
      <x:c r="O13" s="17" t="str">
        <x:v>VIS-SRC-006</x:v>
      </x:c>
      <x:c r="P13" s="30" t="n">
        <x:v>46112</x:v>
      </x:c>
      <x:c r="Q13" s="17" t="str">
        <x:v>Sample event</x:v>
      </x:c>
    </x:row>
    <x:row r="14">
      <x:c r="A14" s="30" t="n">
        <x:v>46059</x:v>
      </x:c>
      <x:c r="B14" s="29" t="n">
        <x:f>YEAR(A14)</x:f>
        <x:v>2026</x:v>
      </x:c>
      <x:c r="C14" s="29" t="str">
        <x:f>"FY"&amp;IF(MONTH(A14)&gt;=4,YEAR(A14),YEAR(A14)-1)&amp;"-"&amp;RIGHT(IF(MONTH(A14)&gt;=4,YEAR(A14)+1,YEAR(A14))&amp;"",2)</x:f>
        <x:v>FY2025-26</x:v>
      </x:c>
      <x:c r="D14" s="29" t="str">
        <x:f>"Q"&amp;ROUNDUP(MONTH(A14)/3,0)&amp;" "&amp;YEAR(A14)</x:f>
        <x:v>Q1 2026</x:v>
      </x:c>
      <x:c r="E14" s="29" t="str">
        <x:f>TEXT(A14,"mmm yyyy")</x:f>
        <x:v>Feb 2026</x:v>
      </x:c>
      <x:c r="F14" s="17" t="str">
        <x:v>Neha Gupta</x:v>
      </x:c>
      <x:c r="G14" s="17" t="str">
        <x:v>Rohit Malhotra</x:v>
      </x:c>
      <x:c r="H14" s="17" t="str">
        <x:v>Sakshi Sharma</x:v>
      </x:c>
      <x:c r="I14" s="17" t="str">
        <x:v>Priya Nair</x:v>
      </x:c>
      <x:c r="J14" s="17" t="str">
        <x:v>CUST-007</x:v>
      </x:c>
      <x:c r="K14" s="17" t="str">
        <x:v>Blue Star Limited</x:v>
      </x:c>
      <x:c r="L14" s="17" t="str">
        <x:v>Not Due</x:v>
      </x:c>
      <x:c r="M14" s="17" t="str">
        <x:v>VIS-202602-002</x:v>
      </x:c>
      <x:c r="N14" s="17" t="n">
        <x:v>1</x:v>
      </x:c>
      <x:c r="O14" s="17" t="str">
        <x:v>VIS-SRC-007</x:v>
      </x:c>
      <x:c r="P14" s="30" t="n">
        <x:v>46112</x:v>
      </x:c>
      <x:c r="Q14" s="17" t="str">
        <x:v>Sample event</x:v>
      </x:c>
    </x:row>
    <x:row r="15">
      <x:c r="A15" s="30" t="n">
        <x:v>46063</x:v>
      </x:c>
      <x:c r="B15" s="29" t="n">
        <x:f>YEAR(A15)</x:f>
        <x:v>2026</x:v>
      </x:c>
      <x:c r="C15" s="29" t="str">
        <x:f>"FY"&amp;IF(MONTH(A15)&gt;=4,YEAR(A15),YEAR(A15)-1)&amp;"-"&amp;RIGHT(IF(MONTH(A15)&gt;=4,YEAR(A15)+1,YEAR(A15))&amp;"",2)</x:f>
        <x:v>FY2025-26</x:v>
      </x:c>
      <x:c r="D15" s="29" t="str">
        <x:f>"Q"&amp;ROUNDUP(MONTH(A15)/3,0)&amp;" "&amp;YEAR(A15)</x:f>
        <x:v>Q1 2026</x:v>
      </x:c>
      <x:c r="E15" s="29" t="str">
        <x:f>TEXT(A15,"mmm yyyy")</x:f>
        <x:v>Feb 2026</x:v>
      </x:c>
      <x:c r="F15" s="17" t="str">
        <x:v>Riya Nair</x:v>
      </x:c>
      <x:c r="G15" s="17" t="str">
        <x:v>Rohit Malhotra</x:v>
      </x:c>
      <x:c r="H15" s="17" t="str">
        <x:v>Abhishek Sharma</x:v>
      </x:c>
      <x:c r="I15" s="17" t="str">
        <x:v>Ankit Verma</x:v>
      </x:c>
      <x:c r="J15" s="17" t="str">
        <x:v>CUST-013</x:v>
      </x:c>
      <x:c r="K15" s="17" t="str">
        <x:v>Varun Beverages</x:v>
      </x:c>
      <x:c r="L15" s="17" t="str">
        <x:v>Due</x:v>
      </x:c>
      <x:c r="M15" s="17" t="str">
        <x:v>VIS-202602-003</x:v>
      </x:c>
      <x:c r="N15" s="17" t="n">
        <x:v>1</x:v>
      </x:c>
      <x:c r="O15" s="17" t="str">
        <x:v>VIS-SRC-008</x:v>
      </x:c>
      <x:c r="P15" s="30" t="n">
        <x:v>46112</x:v>
      </x:c>
      <x:c r="Q15" s="17" t="str">
        <x:v>Sample event</x:v>
      </x:c>
    </x:row>
    <x:row r="16">
      <x:c r="A16" s="30" t="n">
        <x:v>46067</x:v>
      </x:c>
      <x:c r="B16" s="29" t="n">
        <x:f>YEAR(A16)</x:f>
        <x:v>2026</x:v>
      </x:c>
      <x:c r="C16" s="29" t="str">
        <x:f>"FY"&amp;IF(MONTH(A16)&gt;=4,YEAR(A16),YEAR(A16)-1)&amp;"-"&amp;RIGHT(IF(MONTH(A16)&gt;=4,YEAR(A16)+1,YEAR(A16))&amp;"",2)</x:f>
        <x:v>FY2025-26</x:v>
      </x:c>
      <x:c r="D16" s="29" t="str">
        <x:f>"Q"&amp;ROUNDUP(MONTH(A16)/3,0)&amp;" "&amp;YEAR(A16)</x:f>
        <x:v>Q1 2026</x:v>
      </x:c>
      <x:c r="E16" s="29" t="str">
        <x:f>TEXT(A16,"mmm yyyy")</x:f>
        <x:v>Feb 2026</x:v>
      </x:c>
      <x:c r="F16" s="17" t="str">
        <x:v>Riya Nair</x:v>
      </x:c>
      <x:c r="G16" s="17" t="str">
        <x:v>Rohit Malhotra</x:v>
      </x:c>
      <x:c r="H16" s="17" t="str">
        <x:v>Abhishek Sharma</x:v>
      </x:c>
      <x:c r="I16" s="17" t="str">
        <x:v>Ankit Verma</x:v>
      </x:c>
      <x:c r="J16" s="17" t="str">
        <x:v>CUST-013</x:v>
      </x:c>
      <x:c r="K16" s="17" t="str">
        <x:v>Varun Beverages</x:v>
      </x:c>
      <x:c r="L16" s="17" t="str">
        <x:v>Due</x:v>
      </x:c>
      <x:c r="M16" s="17" t="str">
        <x:v>VIS-202602-004</x:v>
      </x:c>
      <x:c r="N16" s="17" t="n">
        <x:v>1</x:v>
      </x:c>
      <x:c r="O16" s="17" t="str">
        <x:v>VIS-SRC-009</x:v>
      </x:c>
      <x:c r="P16" s="30" t="n">
        <x:v>46112</x:v>
      </x:c>
      <x:c r="Q16" s="17" t="str">
        <x:v>Repeat customer in February</x:v>
      </x:c>
    </x:row>
    <x:row r="17">
      <x:c r="A17" s="30" t="n">
        <x:v>46072</x:v>
      </x:c>
      <x:c r="B17" s="29" t="n">
        <x:f>YEAR(A17)</x:f>
        <x:v>2026</x:v>
      </x:c>
      <x:c r="C17" s="29" t="str">
        <x:f>"FY"&amp;IF(MONTH(A17)&gt;=4,YEAR(A17),YEAR(A17)-1)&amp;"-"&amp;RIGHT(IF(MONTH(A17)&gt;=4,YEAR(A17)+1,YEAR(A17))&amp;"",2)</x:f>
        <x:v>FY2025-26</x:v>
      </x:c>
      <x:c r="D17" s="29" t="str">
        <x:f>"Q"&amp;ROUNDUP(MONTH(A17)/3,0)&amp;" "&amp;YEAR(A17)</x:f>
        <x:v>Q1 2026</x:v>
      </x:c>
      <x:c r="E17" s="29" t="str">
        <x:f>TEXT(A17,"mmm yyyy")</x:f>
        <x:v>Feb 2026</x:v>
      </x:c>
      <x:c r="F17" s="17" t="str">
        <x:v>Vikram Das</x:v>
      </x:c>
      <x:c r="G17" s="17" t="str">
        <x:v>Mukesh Mishra</x:v>
      </x:c>
      <x:c r="H17" s="17" t="str">
        <x:v>Palak Choudhary</x:v>
      </x:c>
      <x:c r="I17" s="17" t="str">
        <x:v>Manish Kumar</x:v>
      </x:c>
      <x:c r="J17" s="17" t="str">
        <x:v>CUST-021</x:v>
      </x:c>
      <x:c r="K17" s="17" t="str">
        <x:v>Shiva Healthcare Pvt Ltd</x:v>
      </x:c>
      <x:c r="L17" s="17" t="str">
        <x:v>Due</x:v>
      </x:c>
      <x:c r="M17" s="17" t="str">
        <x:v>VIS-202602-005</x:v>
      </x:c>
      <x:c r="N17" s="17" t="n">
        <x:v>1</x:v>
      </x:c>
      <x:c r="O17" s="17" t="str">
        <x:v>VIS-SRC-010</x:v>
      </x:c>
      <x:c r="P17" s="30" t="n">
        <x:v>46112</x:v>
      </x:c>
      <x:c r="Q17" s="17" t="str">
        <x:v>Sample event</x:v>
      </x:c>
    </x:row>
    <x:row r="18">
      <x:c r="A18" s="30" t="n">
        <x:v>46085</x:v>
      </x:c>
      <x:c r="B18" s="29" t="n">
        <x:f>YEAR(A18)</x:f>
        <x:v>2026</x:v>
      </x:c>
      <x:c r="C18" s="29" t="str">
        <x:f>"FY"&amp;IF(MONTH(A18)&gt;=4,YEAR(A18),YEAR(A18)-1)&amp;"-"&amp;RIGHT(IF(MONTH(A18)&gt;=4,YEAR(A18)+1,YEAR(A18))&amp;"",2)</x:f>
        <x:v>FY2025-26</x:v>
      </x:c>
      <x:c r="D18" s="29" t="str">
        <x:f>"Q"&amp;ROUNDUP(MONTH(A18)/3,0)&amp;" "&amp;YEAR(A18)</x:f>
        <x:v>Q1 2026</x:v>
      </x:c>
      <x:c r="E18" s="29" t="str">
        <x:f>TEXT(A18,"mmm yyyy")</x:f>
        <x:v>Mar 2026</x:v>
      </x:c>
      <x:c r="F18" s="17" t="str">
        <x:v>Devashish Agent1</x:v>
      </x:c>
      <x:c r="G18" s="17" t="str">
        <x:v>Rohit Malhotra</x:v>
      </x:c>
      <x:c r="H18" s="17" t="str">
        <x:v>Sakshi Sharma</x:v>
      </x:c>
      <x:c r="I18" s="17" t="str">
        <x:v>Ravi Singh</x:v>
      </x:c>
      <x:c r="J18" s="17" t="str">
        <x:v>CUST-001</x:v>
      </x:c>
      <x:c r="K18" s="17" t="str">
        <x:v>Apollo Pharmacy Pvt Ltd</x:v>
      </x:c>
      <x:c r="L18" s="17" t="str">
        <x:v>Due</x:v>
      </x:c>
      <x:c r="M18" s="17" t="str">
        <x:v>VIS-202603-001</x:v>
      </x:c>
      <x:c r="N18" s="17" t="n">
        <x:v>1</x:v>
      </x:c>
      <x:c r="O18" s="17" t="str">
        <x:v>VIS-SRC-011</x:v>
      </x:c>
      <x:c r="P18" s="30" t="n">
        <x:v>46112</x:v>
      </x:c>
      <x:c r="Q18" s="17" t="str">
        <x:v>Sample event</x:v>
      </x:c>
    </x:row>
    <x:row r="19">
      <x:c r="A19" s="30" t="n">
        <x:v>46090</x:v>
      </x:c>
      <x:c r="B19" s="29" t="n">
        <x:f>YEAR(A19)</x:f>
        <x:v>2026</x:v>
      </x:c>
      <x:c r="C19" s="29" t="str">
        <x:f>"FY"&amp;IF(MONTH(A19)&gt;=4,YEAR(A19),YEAR(A19)-1)&amp;"-"&amp;RIGHT(IF(MONTH(A19)&gt;=4,YEAR(A19)+1,YEAR(A19))&amp;"",2)</x:f>
        <x:v>FY2025-26</x:v>
      </x:c>
      <x:c r="D19" s="29" t="str">
        <x:f>"Q"&amp;ROUNDUP(MONTH(A19)/3,0)&amp;" "&amp;YEAR(A19)</x:f>
        <x:v>Q1 2026</x:v>
      </x:c>
      <x:c r="E19" s="29" t="str">
        <x:f>TEXT(A19,"mmm yyyy")</x:f>
        <x:v>Mar 2026</x:v>
      </x:c>
      <x:c r="F19" s="17" t="str">
        <x:v>Neha Gupta</x:v>
      </x:c>
      <x:c r="G19" s="17" t="str">
        <x:v>Rohit Malhotra</x:v>
      </x:c>
      <x:c r="H19" s="17" t="str">
        <x:v>Sakshi Sharma</x:v>
      </x:c>
      <x:c r="I19" s="17" t="str">
        <x:v>Priya Nair</x:v>
      </x:c>
      <x:c r="J19" s="17" t="str">
        <x:v>CUST-007</x:v>
      </x:c>
      <x:c r="K19" s="17" t="str">
        <x:v>Blue Star Limited</x:v>
      </x:c>
      <x:c r="L19" s="17" t="str">
        <x:v>Not Due</x:v>
      </x:c>
      <x:c r="M19" s="17" t="str">
        <x:v>VIS-202603-002</x:v>
      </x:c>
      <x:c r="N19" s="17" t="n">
        <x:v>1</x:v>
      </x:c>
      <x:c r="O19" s="17" t="str">
        <x:v>VIS-SRC-012</x:v>
      </x:c>
      <x:c r="P19" s="30" t="n">
        <x:v>46112</x:v>
      </x:c>
      <x:c r="Q19" s="17" t="str">
        <x:v>Sample event</x:v>
      </x:c>
    </x:row>
    <x:row r="20">
      <x:c r="A20" s="30" t="n">
        <x:v>46094</x:v>
      </x:c>
      <x:c r="B20" s="29" t="n">
        <x:f>YEAR(A20)</x:f>
        <x:v>2026</x:v>
      </x:c>
      <x:c r="C20" s="29" t="str">
        <x:f>"FY"&amp;IF(MONTH(A20)&gt;=4,YEAR(A20),YEAR(A20)-1)&amp;"-"&amp;RIGHT(IF(MONTH(A20)&gt;=4,YEAR(A20)+1,YEAR(A20))&amp;"",2)</x:f>
        <x:v>FY2025-26</x:v>
      </x:c>
      <x:c r="D20" s="29" t="str">
        <x:f>"Q"&amp;ROUNDUP(MONTH(A20)/3,0)&amp;" "&amp;YEAR(A20)</x:f>
        <x:v>Q1 2026</x:v>
      </x:c>
      <x:c r="E20" s="29" t="str">
        <x:f>TEXT(A20,"mmm yyyy")</x:f>
        <x:v>Mar 2026</x:v>
      </x:c>
      <x:c r="F20" s="17" t="str">
        <x:v>Riya Nair</x:v>
      </x:c>
      <x:c r="G20" s="17" t="str">
        <x:v>Rohit Malhotra</x:v>
      </x:c>
      <x:c r="H20" s="17" t="str">
        <x:v>Abhishek Sharma</x:v>
      </x:c>
      <x:c r="I20" s="17" t="str">
        <x:v>Ankit Verma</x:v>
      </x:c>
      <x:c r="J20" s="17" t="str">
        <x:v>CUST-013</x:v>
      </x:c>
      <x:c r="K20" s="17" t="str">
        <x:v>Varun Beverages</x:v>
      </x:c>
      <x:c r="L20" s="17" t="str">
        <x:v>Due</x:v>
      </x:c>
      <x:c r="M20" s="17" t="str">
        <x:v>VIS-202603-003</x:v>
      </x:c>
      <x:c r="N20" s="17" t="n">
        <x:v>1</x:v>
      </x:c>
      <x:c r="O20" s="17" t="str">
        <x:v>VIS-SRC-013</x:v>
      </x:c>
      <x:c r="P20" s="30" t="n">
        <x:v>46112</x:v>
      </x:c>
      <x:c r="Q20" s="17" t="str">
        <x:v>Sample event</x:v>
      </x:c>
    </x:row>
    <x:row r="21">
      <x:c r="A21" s="30" t="n">
        <x:v>46098</x:v>
      </x:c>
      <x:c r="B21" s="29" t="n">
        <x:f>YEAR(A21)</x:f>
        <x:v>2026</x:v>
      </x:c>
      <x:c r="C21" s="29" t="str">
        <x:f>"FY"&amp;IF(MONTH(A21)&gt;=4,YEAR(A21),YEAR(A21)-1)&amp;"-"&amp;RIGHT(IF(MONTH(A21)&gt;=4,YEAR(A21)+1,YEAR(A21))&amp;"",2)</x:f>
        <x:v>FY2025-26</x:v>
      </x:c>
      <x:c r="D21" s="29" t="str">
        <x:f>"Q"&amp;ROUNDUP(MONTH(A21)/3,0)&amp;" "&amp;YEAR(A21)</x:f>
        <x:v>Q1 2026</x:v>
      </x:c>
      <x:c r="E21" s="29" t="str">
        <x:f>TEXT(A21,"mmm yyyy")</x:f>
        <x:v>Mar 2026</x:v>
      </x:c>
      <x:c r="F21" s="17" t="str">
        <x:v>Vikram Das</x:v>
      </x:c>
      <x:c r="G21" s="17" t="str">
        <x:v>Mukesh Mishra</x:v>
      </x:c>
      <x:c r="H21" s="17" t="str">
        <x:v>Palak Choudhary</x:v>
      </x:c>
      <x:c r="I21" s="17" t="str">
        <x:v>Manish Kumar</x:v>
      </x:c>
      <x:c r="J21" s="17" t="str">
        <x:v>CUST-021</x:v>
      </x:c>
      <x:c r="K21" s="17" t="str">
        <x:v>Shiva Healthcare Pvt Ltd</x:v>
      </x:c>
      <x:c r="L21" s="17" t="str">
        <x:v>Due</x:v>
      </x:c>
      <x:c r="M21" s="17" t="str">
        <x:v>VIS-202603-004</x:v>
      </x:c>
      <x:c r="N21" s="17" t="n">
        <x:v>1</x:v>
      </x:c>
      <x:c r="O21" s="17" t="str">
        <x:v>VIS-SRC-014</x:v>
      </x:c>
      <x:c r="P21" s="30" t="n">
        <x:v>46112</x:v>
      </x:c>
      <x:c r="Q21" s="17" t="str">
        <x:v>Sample event</x:v>
      </x:c>
    </x:row>
    <x:row r="22">
      <x:c r="A22" s="30" t="n">
        <x:v>46105</x:v>
      </x:c>
      <x:c r="B22" s="29" t="n">
        <x:f>YEAR(A22)</x:f>
        <x:v>2026</x:v>
      </x:c>
      <x:c r="C22" s="29" t="str">
        <x:f>"FY"&amp;IF(MONTH(A22)&gt;=4,YEAR(A22),YEAR(A22)-1)&amp;"-"&amp;RIGHT(IF(MONTH(A22)&gt;=4,YEAR(A22)+1,YEAR(A22))&amp;"",2)</x:f>
        <x:v>FY2025-26</x:v>
      </x:c>
      <x:c r="D22" s="29" t="str">
        <x:f>"Q"&amp;ROUNDUP(MONTH(A22)/3,0)&amp;" "&amp;YEAR(A22)</x:f>
        <x:v>Q1 2026</x:v>
      </x:c>
      <x:c r="E22" s="29" t="str">
        <x:f>TEXT(A22,"mmm yyyy")</x:f>
        <x:v>Mar 2026</x:v>
      </x:c>
      <x:c r="F22" s="17" t="str">
        <x:v>Devashish Agent1</x:v>
      </x:c>
      <x:c r="G22" s="17" t="str">
        <x:v>Rohit Malhotra</x:v>
      </x:c>
      <x:c r="H22" s="17" t="str">
        <x:v>Sakshi Sharma</x:v>
      </x:c>
      <x:c r="I22" s="17" t="str">
        <x:v>Ravi Singh</x:v>
      </x:c>
      <x:c r="J22" s="17" t="str">
        <x:v>CUST-001</x:v>
      </x:c>
      <x:c r="K22" s="17" t="str">
        <x:v>Apollo Pharmacy Pvt Ltd</x:v>
      </x:c>
      <x:c r="L22" s="17" t="str">
        <x:v>Due</x:v>
      </x:c>
      <x:c r="M22" s="17" t="str">
        <x:v>VIS-202603-005</x:v>
      </x:c>
      <x:c r="N22" s="17" t="n">
        <x:v>1</x:v>
      </x:c>
      <x:c r="O22" s="17" t="str">
        <x:v>VIS-SRC-015</x:v>
      </x:c>
      <x:c r="P22" s="30" t="n">
        <x:v>46112</x:v>
      </x:c>
      <x:c r="Q22" s="17" t="str">
        <x:v>Repeat customer in March</x:v>
      </x:c>
    </x:row>
  </x:sheetData>
  <x:mergeCells>
    <x:mergeCell ref="A1:Q1"/>
    <x:mergeCell ref="A2:Q2"/>
    <x:mergeCell ref="A4:Q4"/>
  </x:mergeCells>
  <x:dataValidations count="2">
    <x:dataValidation type="list" sqref="L8:L200">
      <x:formula1>Lists!$D$2:$D$3</x:formula1>
    </x:dataValidation>
    <x:dataValidation type="whole" operator="between" sqref="N8:N200">
      <x:formula1>1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13" hidden="0" customWidth="1"/>
    <x:col min="4" max="4" width="17" hidden="0" customWidth="1"/>
    <x:col min="5" max="5" width="14" hidden="0" customWidth="1"/>
    <x:col min="6" max="6" width="20" hidden="0" customWidth="1"/>
    <x:col min="7" max="7" width="20" hidden="0" customWidth="1"/>
    <x:col min="8" max="8" width="19" hidden="0" customWidth="1"/>
    <x:col min="9" max="9" width="17" hidden="0" customWidth="1"/>
    <x:col min="10" max="10" width="14" hidden="0" customWidth="1"/>
    <x:col min="11" max="11" width="28" hidden="0" customWidth="1"/>
    <x:col min="12" max="12" width="16" hidden="0" customWidth="1"/>
    <x:col min="13" max="13" width="23" hidden="0" customWidth="1"/>
    <x:col min="14" max="14" width="16" hidden="0" customWidth="1"/>
    <x:col min="15" max="15" width="20" hidden="0" customWidth="1"/>
    <x:col min="16" max="16" width="14" hidden="0" customWidth="1"/>
    <x:col min="17" max="17" width="30" hidden="0" customWidth="1"/>
  </x:cols>
  <x:sheetData>
    <x:row r="1" ht="30" customHeight="1">
      <x:c r="A1" s="3" t="str">
        <x:v>Invoice Submission Data</x:v>
      </x:c>
    </x:row>
    <x:row r="2" ht="32" customHeight="1">
      <x:c r="A2" s="7" t="str">
        <x:v>One row per invoice-submission event. The chart counts events by period and Submission Channel.</x:v>
      </x:c>
    </x:row>
    <x:row r="4">
      <x:c r="A4" s="28" t="str">
        <x:v>Card filters: Agent, Manager, KAM, KAS and Customer. City and Due / Not Due are intentionally excluded.</x:v>
      </x:c>
    </x:row>
    <x:row r="7" ht="34" customHeight="1">
      <x:c r="A7" s="14" t="str">
        <x:v>Submission Date</x:v>
      </x:c>
      <x:c r="B7" s="14" t="str">
        <x:v>Year</x:v>
      </x:c>
      <x:c r="C7" s="14" t="str">
        <x:v>Fiscal Year</x:v>
      </x:c>
      <x:c r="D7" s="14" t="str">
        <x:v>Calendar Quarter</x:v>
      </x:c>
      <x:c r="E7" s="14" t="str">
        <x:v>Month</x:v>
      </x:c>
      <x:c r="F7" s="14" t="str">
        <x:v>Agent</x:v>
      </x:c>
      <x:c r="G7" s="14" t="str">
        <x:v>Manager</x:v>
      </x:c>
      <x:c r="H7" s="14" t="str">
        <x:v>KAM</x:v>
      </x:c>
      <x:c r="I7" s="14" t="str">
        <x:v>KAS</x:v>
      </x:c>
      <x:c r="J7" s="14" t="str">
        <x:v>Customer ID</x:v>
      </x:c>
      <x:c r="K7" s="14" t="str">
        <x:v>Customer Name</x:v>
      </x:c>
      <x:c r="L7" s="14" t="str">
        <x:v>Invoice ID</x:v>
      </x:c>
      <x:c r="M7" s="14" t="str">
        <x:v>Submission Channel</x:v>
      </x:c>
      <x:c r="N7" s="14" t="str">
        <x:v>Submission Count</x:v>
      </x:c>
      <x:c r="O7" s="14" t="str">
        <x:v>Source Record ID</x:v>
      </x:c>
      <x:c r="P7" s="14" t="str">
        <x:v>Data As Of</x:v>
      </x:c>
      <x:c r="Q7" s="14" t="str">
        <x:v>Notes</x:v>
      </x:c>
    </x:row>
    <x:row r="8">
      <x:c r="A8" s="30" t="n">
        <x:v>46026</x:v>
      </x:c>
      <x:c r="B8" s="29" t="n">
        <x:f>YEAR(A8)</x:f>
        <x:v>2026</x:v>
      </x:c>
      <x:c r="C8" s="29" t="str">
        <x:f>"FY"&amp;IF(MONTH(A8)&gt;=4,YEAR(A8),YEAR(A8)-1)&amp;"-"&amp;RIGHT(IF(MONTH(A8)&gt;=4,YEAR(A8)+1,YEAR(A8))&amp;"",2)</x:f>
        <x:v>FY2025-26</x:v>
      </x:c>
      <x:c r="D8" s="29" t="str">
        <x:f>"Q"&amp;ROUNDUP(MONTH(A8)/3,0)&amp;" "&amp;YEAR(A8)</x:f>
        <x:v>Q1 2026</x:v>
      </x:c>
      <x:c r="E8" s="29" t="str">
        <x:f>TEXT(A8,"mmm yyyy")</x:f>
        <x:v>Jan 2026</x:v>
      </x:c>
      <x:c r="F8" s="17" t="str">
        <x:v>Devashish Agent1</x:v>
      </x:c>
      <x:c r="G8" s="17" t="str">
        <x:v>Rohit Malhotra</x:v>
      </x:c>
      <x:c r="H8" s="17" t="str">
        <x:v>Sakshi Sharma</x:v>
      </x:c>
      <x:c r="I8" s="17" t="str">
        <x:v>Ravi Singh</x:v>
      </x:c>
      <x:c r="J8" s="17" t="str">
        <x:v>CUST-001</x:v>
      </x:c>
      <x:c r="K8" s="17" t="str">
        <x:v>Apollo Pharmacy Pvt Ltd</x:v>
      </x:c>
      <x:c r="L8" s="17" t="str">
        <x:v>INV-10291</x:v>
      </x:c>
      <x:c r="M8" s="17" t="str">
        <x:v>Physically submitted</x:v>
      </x:c>
      <x:c r="N8" s="17" t="n">
        <x:v>1</x:v>
      </x:c>
      <x:c r="O8" s="17" t="str">
        <x:v>SUB-SRC-001</x:v>
      </x:c>
      <x:c r="P8" s="30" t="n">
        <x:v>46112</x:v>
      </x:c>
      <x:c r="Q8" s="17" t="str">
        <x:v>Sample event</x:v>
      </x:c>
    </x:row>
    <x:row r="9">
      <x:c r="A9" s="30" t="n">
        <x:v>46030</x:v>
      </x:c>
      <x:c r="B9" s="29" t="n">
        <x:f>YEAR(A9)</x:f>
        <x:v>2026</x:v>
      </x:c>
      <x:c r="C9" s="29" t="str">
        <x:f>"FY"&amp;IF(MONTH(A9)&gt;=4,YEAR(A9),YEAR(A9)-1)&amp;"-"&amp;RIGHT(IF(MONTH(A9)&gt;=4,YEAR(A9)+1,YEAR(A9))&amp;"",2)</x:f>
        <x:v>FY2025-26</x:v>
      </x:c>
      <x:c r="D9" s="29" t="str">
        <x:f>"Q"&amp;ROUNDUP(MONTH(A9)/3,0)&amp;" "&amp;YEAR(A9)</x:f>
        <x:v>Q1 2026</x:v>
      </x:c>
      <x:c r="E9" s="29" t="str">
        <x:f>TEXT(A9,"mmm yyyy")</x:f>
        <x:v>Jan 2026</x:v>
      </x:c>
      <x:c r="F9" s="17" t="str">
        <x:v>Neha Gupta</x:v>
      </x:c>
      <x:c r="G9" s="17" t="str">
        <x:v>Rohit Malhotra</x:v>
      </x:c>
      <x:c r="H9" s="17" t="str">
        <x:v>Sakshi Sharma</x:v>
      </x:c>
      <x:c r="I9" s="17" t="str">
        <x:v>Priya Nair</x:v>
      </x:c>
      <x:c r="J9" s="17" t="str">
        <x:v>CUST-007</x:v>
      </x:c>
      <x:c r="K9" s="17" t="str">
        <x:v>Blue Star Limited</x:v>
      </x:c>
      <x:c r="L9" s="17" t="str">
        <x:v>INV-20814</x:v>
      </x:c>
      <x:c r="M9" s="17" t="str">
        <x:v>Courier</x:v>
      </x:c>
      <x:c r="N9" s="17" t="n">
        <x:v>1</x:v>
      </x:c>
      <x:c r="O9" s="17" t="str">
        <x:v>SUB-SRC-002</x:v>
      </x:c>
      <x:c r="P9" s="30" t="n">
        <x:v>46112</x:v>
      </x:c>
      <x:c r="Q9" s="17" t="str">
        <x:v>Sample event</x:v>
      </x:c>
    </x:row>
    <x:row r="10">
      <x:c r="A10" s="30" t="n">
        <x:v>46036</x:v>
      </x:c>
      <x:c r="B10" s="29" t="n">
        <x:f>YEAR(A10)</x:f>
        <x:v>2026</x:v>
      </x:c>
      <x:c r="C10" s="29" t="str">
        <x:f>"FY"&amp;IF(MONTH(A10)&gt;=4,YEAR(A10),YEAR(A10)-1)&amp;"-"&amp;RIGHT(IF(MONTH(A10)&gt;=4,YEAR(A10)+1,YEAR(A10))&amp;"",2)</x:f>
        <x:v>FY2025-26</x:v>
      </x:c>
      <x:c r="D10" s="29" t="str">
        <x:f>"Q"&amp;ROUNDUP(MONTH(A10)/3,0)&amp;" "&amp;YEAR(A10)</x:f>
        <x:v>Q1 2026</x:v>
      </x:c>
      <x:c r="E10" s="29" t="str">
        <x:f>TEXT(A10,"mmm yyyy")</x:f>
        <x:v>Jan 2026</x:v>
      </x:c>
      <x:c r="F10" s="17" t="str">
        <x:v>Riya Nair</x:v>
      </x:c>
      <x:c r="G10" s="17" t="str">
        <x:v>Rohit Malhotra</x:v>
      </x:c>
      <x:c r="H10" s="17" t="str">
        <x:v>Abhishek Sharma</x:v>
      </x:c>
      <x:c r="I10" s="17" t="str">
        <x:v>Ankit Verma</x:v>
      </x:c>
      <x:c r="J10" s="17" t="str">
        <x:v>CUST-013</x:v>
      </x:c>
      <x:c r="K10" s="17" t="str">
        <x:v>Varun Beverages</x:v>
      </x:c>
      <x:c r="L10" s="17" t="str">
        <x:v>INV-44572</x:v>
      </x:c>
      <x:c r="M10" s="17" t="str">
        <x:v>Email</x:v>
      </x:c>
      <x:c r="N10" s="17" t="n">
        <x:v>1</x:v>
      </x:c>
      <x:c r="O10" s="17" t="str">
        <x:v>SUB-SRC-003</x:v>
      </x:c>
      <x:c r="P10" s="30" t="n">
        <x:v>46112</x:v>
      </x:c>
      <x:c r="Q10" s="17" t="str">
        <x:v>Sample event</x:v>
      </x:c>
    </x:row>
    <x:row r="11">
      <x:c r="A11" s="30" t="n">
        <x:v>46044</x:v>
      </x:c>
      <x:c r="B11" s="29" t="n">
        <x:f>YEAR(A11)</x:f>
        <x:v>2026</x:v>
      </x:c>
      <x:c r="C11" s="29" t="str">
        <x:f>"FY"&amp;IF(MONTH(A11)&gt;=4,YEAR(A11),YEAR(A11)-1)&amp;"-"&amp;RIGHT(IF(MONTH(A11)&gt;=4,YEAR(A11)+1,YEAR(A11))&amp;"",2)</x:f>
        <x:v>FY2025-26</x:v>
      </x:c>
      <x:c r="D11" s="29" t="str">
        <x:f>"Q"&amp;ROUNDUP(MONTH(A11)/3,0)&amp;" "&amp;YEAR(A11)</x:f>
        <x:v>Q1 2026</x:v>
      </x:c>
      <x:c r="E11" s="29" t="str">
        <x:f>TEXT(A11,"mmm yyyy")</x:f>
        <x:v>Jan 2026</x:v>
      </x:c>
      <x:c r="F11" s="17" t="str">
        <x:v>Vikram Das</x:v>
      </x:c>
      <x:c r="G11" s="17" t="str">
        <x:v>Mukesh Mishra</x:v>
      </x:c>
      <x:c r="H11" s="17" t="str">
        <x:v>Palak Choudhary</x:v>
      </x:c>
      <x:c r="I11" s="17" t="str">
        <x:v>Manish Kumar</x:v>
      </x:c>
      <x:c r="J11" s="17" t="str">
        <x:v>CUST-021</x:v>
      </x:c>
      <x:c r="K11" s="17" t="str">
        <x:v>Shiva Healthcare Pvt Ltd</x:v>
      </x:c>
      <x:c r="L11" s="17" t="str">
        <x:v>INV-66811</x:v>
      </x:c>
      <x:c r="M11" s="17" t="str">
        <x:v>External submission</x:v>
      </x:c>
      <x:c r="N11" s="17" t="n">
        <x:v>1</x:v>
      </x:c>
      <x:c r="O11" s="17" t="str">
        <x:v>SUB-SRC-004</x:v>
      </x:c>
      <x:c r="P11" s="30" t="n">
        <x:v>46112</x:v>
      </x:c>
      <x:c r="Q11" s="17" t="str">
        <x:v>Sample event</x:v>
      </x:c>
    </x:row>
    <x:row r="12">
      <x:c r="A12" s="30" t="n">
        <x:v>46056</x:v>
      </x:c>
      <x:c r="B12" s="29" t="n">
        <x:f>YEAR(A12)</x:f>
        <x:v>2026</x:v>
      </x:c>
      <x:c r="C12" s="29" t="str">
        <x:f>"FY"&amp;IF(MONTH(A12)&gt;=4,YEAR(A12),YEAR(A12)-1)&amp;"-"&amp;RIGHT(IF(MONTH(A12)&gt;=4,YEAR(A12)+1,YEAR(A12))&amp;"",2)</x:f>
        <x:v>FY2025-26</x:v>
      </x:c>
      <x:c r="D12" s="29" t="str">
        <x:f>"Q"&amp;ROUNDUP(MONTH(A12)/3,0)&amp;" "&amp;YEAR(A12)</x:f>
        <x:v>Q1 2026</x:v>
      </x:c>
      <x:c r="E12" s="29" t="str">
        <x:f>TEXT(A12,"mmm yyyy")</x:f>
        <x:v>Feb 2026</x:v>
      </x:c>
      <x:c r="F12" s="17" t="str">
        <x:v>Devashish Agent1</x:v>
      </x:c>
      <x:c r="G12" s="17" t="str">
        <x:v>Rohit Malhotra</x:v>
      </x:c>
      <x:c r="H12" s="17" t="str">
        <x:v>Sakshi Sharma</x:v>
      </x:c>
      <x:c r="I12" s="17" t="str">
        <x:v>Ravi Singh</x:v>
      </x:c>
      <x:c r="J12" s="17" t="str">
        <x:v>CUST-001</x:v>
      </x:c>
      <x:c r="K12" s="17" t="str">
        <x:v>Apollo Pharmacy Pvt Ltd</x:v>
      </x:c>
      <x:c r="L12" s="17" t="str">
        <x:v>INV-10308</x:v>
      </x:c>
      <x:c r="M12" s="17" t="str">
        <x:v>Email</x:v>
      </x:c>
      <x:c r="N12" s="17" t="n">
        <x:v>1</x:v>
      </x:c>
      <x:c r="O12" s="17" t="str">
        <x:v>SUB-SRC-005</x:v>
      </x:c>
      <x:c r="P12" s="30" t="n">
        <x:v>46112</x:v>
      </x:c>
      <x:c r="Q12" s="17" t="str">
        <x:v>Sample event</x:v>
      </x:c>
    </x:row>
    <x:row r="13">
      <x:c r="A13" s="30" t="n">
        <x:v>46060</x:v>
      </x:c>
      <x:c r="B13" s="29" t="n">
        <x:f>YEAR(A13)</x:f>
        <x:v>2026</x:v>
      </x:c>
      <x:c r="C13" s="29" t="str">
        <x:f>"FY"&amp;IF(MONTH(A13)&gt;=4,YEAR(A13),YEAR(A13)-1)&amp;"-"&amp;RIGHT(IF(MONTH(A13)&gt;=4,YEAR(A13)+1,YEAR(A13))&amp;"",2)</x:f>
        <x:v>FY2025-26</x:v>
      </x:c>
      <x:c r="D13" s="29" t="str">
        <x:f>"Q"&amp;ROUNDUP(MONTH(A13)/3,0)&amp;" "&amp;YEAR(A13)</x:f>
        <x:v>Q1 2026</x:v>
      </x:c>
      <x:c r="E13" s="29" t="str">
        <x:f>TEXT(A13,"mmm yyyy")</x:f>
        <x:v>Feb 2026</x:v>
      </x:c>
      <x:c r="F13" s="17" t="str">
        <x:v>Neha Gupta</x:v>
      </x:c>
      <x:c r="G13" s="17" t="str">
        <x:v>Rohit Malhotra</x:v>
      </x:c>
      <x:c r="H13" s="17" t="str">
        <x:v>Sakshi Sharma</x:v>
      </x:c>
      <x:c r="I13" s="17" t="str">
        <x:v>Priya Nair</x:v>
      </x:c>
      <x:c r="J13" s="17" t="str">
        <x:v>CUST-007</x:v>
      </x:c>
      <x:c r="K13" s="17" t="str">
        <x:v>Blue Star Limited</x:v>
      </x:c>
      <x:c r="L13" s="17" t="str">
        <x:v>INV-22127</x:v>
      </x:c>
      <x:c r="M13" s="17" t="str">
        <x:v>Physically submitted</x:v>
      </x:c>
      <x:c r="N13" s="17" t="n">
        <x:v>1</x:v>
      </x:c>
      <x:c r="O13" s="17" t="str">
        <x:v>SUB-SRC-006</x:v>
      </x:c>
      <x:c r="P13" s="30" t="n">
        <x:v>46112</x:v>
      </x:c>
      <x:c r="Q13" s="17" t="str">
        <x:v>Sample event</x:v>
      </x:c>
    </x:row>
    <x:row r="14">
      <x:c r="A14" s="30" t="n">
        <x:v>46069</x:v>
      </x:c>
      <x:c r="B14" s="29" t="n">
        <x:f>YEAR(A14)</x:f>
        <x:v>2026</x:v>
      </x:c>
      <x:c r="C14" s="29" t="str">
        <x:f>"FY"&amp;IF(MONTH(A14)&gt;=4,YEAR(A14),YEAR(A14)-1)&amp;"-"&amp;RIGHT(IF(MONTH(A14)&gt;=4,YEAR(A14)+1,YEAR(A14))&amp;"",2)</x:f>
        <x:v>FY2025-26</x:v>
      </x:c>
      <x:c r="D14" s="29" t="str">
        <x:f>"Q"&amp;ROUNDUP(MONTH(A14)/3,0)&amp;" "&amp;YEAR(A14)</x:f>
        <x:v>Q1 2026</x:v>
      </x:c>
      <x:c r="E14" s="29" t="str">
        <x:f>TEXT(A14,"mmm yyyy")</x:f>
        <x:v>Feb 2026</x:v>
      </x:c>
      <x:c r="F14" s="17" t="str">
        <x:v>Riya Nair</x:v>
      </x:c>
      <x:c r="G14" s="17" t="str">
        <x:v>Rohit Malhotra</x:v>
      </x:c>
      <x:c r="H14" s="17" t="str">
        <x:v>Abhishek Sharma</x:v>
      </x:c>
      <x:c r="I14" s="17" t="str">
        <x:v>Ankit Verma</x:v>
      </x:c>
      <x:c r="J14" s="17" t="str">
        <x:v>CUST-013</x:v>
      </x:c>
      <x:c r="K14" s="17" t="str">
        <x:v>Varun Beverages</x:v>
      </x:c>
      <x:c r="L14" s="17" t="str">
        <x:v>INV-33241</x:v>
      </x:c>
      <x:c r="M14" s="17" t="str">
        <x:v>Courier</x:v>
      </x:c>
      <x:c r="N14" s="17" t="n">
        <x:v>1</x:v>
      </x:c>
      <x:c r="O14" s="17" t="str">
        <x:v>SUB-SRC-007</x:v>
      </x:c>
      <x:c r="P14" s="30" t="n">
        <x:v>46112</x:v>
      </x:c>
      <x:c r="Q14" s="17" t="str">
        <x:v>Sample event</x:v>
      </x:c>
    </x:row>
    <x:row r="15">
      <x:c r="A15" s="30" t="n">
        <x:v>46077</x:v>
      </x:c>
      <x:c r="B15" s="29" t="n">
        <x:f>YEAR(A15)</x:f>
        <x:v>2026</x:v>
      </x:c>
      <x:c r="C15" s="29" t="str">
        <x:f>"FY"&amp;IF(MONTH(A15)&gt;=4,YEAR(A15),YEAR(A15)-1)&amp;"-"&amp;RIGHT(IF(MONTH(A15)&gt;=4,YEAR(A15)+1,YEAR(A15))&amp;"",2)</x:f>
        <x:v>FY2025-26</x:v>
      </x:c>
      <x:c r="D15" s="29" t="str">
        <x:f>"Q"&amp;ROUNDUP(MONTH(A15)/3,0)&amp;" "&amp;YEAR(A15)</x:f>
        <x:v>Q1 2026</x:v>
      </x:c>
      <x:c r="E15" s="29" t="str">
        <x:f>TEXT(A15,"mmm yyyy")</x:f>
        <x:v>Feb 2026</x:v>
      </x:c>
      <x:c r="F15" s="17" t="str">
        <x:v>Vikram Das</x:v>
      </x:c>
      <x:c r="G15" s="17" t="str">
        <x:v>Mukesh Mishra</x:v>
      </x:c>
      <x:c r="H15" s="17" t="str">
        <x:v>Palak Choudhary</x:v>
      </x:c>
      <x:c r="I15" s="17" t="str">
        <x:v>Manish Kumar</x:v>
      </x:c>
      <x:c r="J15" s="17" t="str">
        <x:v>CUST-021</x:v>
      </x:c>
      <x:c r="K15" s="17" t="str">
        <x:v>Shiva Healthcare Pvt Ltd</x:v>
      </x:c>
      <x:c r="L15" s="17" t="str">
        <x:v>INV-40109</x:v>
      </x:c>
      <x:c r="M15" s="17" t="str">
        <x:v>Email</x:v>
      </x:c>
      <x:c r="N15" s="17" t="n">
        <x:v>1</x:v>
      </x:c>
      <x:c r="O15" s="17" t="str">
        <x:v>SUB-SRC-008</x:v>
      </x:c>
      <x:c r="P15" s="30" t="n">
        <x:v>46112</x:v>
      </x:c>
      <x:c r="Q15" s="17" t="str">
        <x:v>Sample event</x:v>
      </x:c>
    </x:row>
    <x:row r="16">
      <x:c r="A16" s="30" t="n">
        <x:v>46086</x:v>
      </x:c>
      <x:c r="B16" s="29" t="n">
        <x:f>YEAR(A16)</x:f>
        <x:v>2026</x:v>
      </x:c>
      <x:c r="C16" s="29" t="str">
        <x:f>"FY"&amp;IF(MONTH(A16)&gt;=4,YEAR(A16),YEAR(A16)-1)&amp;"-"&amp;RIGHT(IF(MONTH(A16)&gt;=4,YEAR(A16)+1,YEAR(A16))&amp;"",2)</x:f>
        <x:v>FY2025-26</x:v>
      </x:c>
      <x:c r="D16" s="29" t="str">
        <x:f>"Q"&amp;ROUNDUP(MONTH(A16)/3,0)&amp;" "&amp;YEAR(A16)</x:f>
        <x:v>Q1 2026</x:v>
      </x:c>
      <x:c r="E16" s="29" t="str">
        <x:f>TEXT(A16,"mmm yyyy")</x:f>
        <x:v>Mar 2026</x:v>
      </x:c>
      <x:c r="F16" s="17" t="str">
        <x:v>Devashish Agent1</x:v>
      </x:c>
      <x:c r="G16" s="17" t="str">
        <x:v>Rohit Malhotra</x:v>
      </x:c>
      <x:c r="H16" s="17" t="str">
        <x:v>Sakshi Sharma</x:v>
      </x:c>
      <x:c r="I16" s="17" t="str">
        <x:v>Ravi Singh</x:v>
      </x:c>
      <x:c r="J16" s="17" t="str">
        <x:v>CUST-001</x:v>
      </x:c>
      <x:c r="K16" s="17" t="str">
        <x:v>Apollo Pharmacy Pvt Ltd</x:v>
      </x:c>
      <x:c r="L16" s="17" t="str">
        <x:v>INV-50101</x:v>
      </x:c>
      <x:c r="M16" s="17" t="str">
        <x:v>External submission</x:v>
      </x:c>
      <x:c r="N16" s="17" t="n">
        <x:v>1</x:v>
      </x:c>
      <x:c r="O16" s="17" t="str">
        <x:v>SUB-SRC-009</x:v>
      </x:c>
      <x:c r="P16" s="30" t="n">
        <x:v>46112</x:v>
      </x:c>
      <x:c r="Q16" s="17" t="str">
        <x:v>Sample event</x:v>
      </x:c>
    </x:row>
    <x:row r="17">
      <x:c r="A17" s="30" t="n">
        <x:v>46092</x:v>
      </x:c>
      <x:c r="B17" s="29" t="n">
        <x:f>YEAR(A17)</x:f>
        <x:v>2026</x:v>
      </x:c>
      <x:c r="C17" s="29" t="str">
        <x:f>"FY"&amp;IF(MONTH(A17)&gt;=4,YEAR(A17),YEAR(A17)-1)&amp;"-"&amp;RIGHT(IF(MONTH(A17)&gt;=4,YEAR(A17)+1,YEAR(A17))&amp;"",2)</x:f>
        <x:v>FY2025-26</x:v>
      </x:c>
      <x:c r="D17" s="29" t="str">
        <x:f>"Q"&amp;ROUNDUP(MONTH(A17)/3,0)&amp;" "&amp;YEAR(A17)</x:f>
        <x:v>Q1 2026</x:v>
      </x:c>
      <x:c r="E17" s="29" t="str">
        <x:f>TEXT(A17,"mmm yyyy")</x:f>
        <x:v>Mar 2026</x:v>
      </x:c>
      <x:c r="F17" s="17" t="str">
        <x:v>Neha Gupta</x:v>
      </x:c>
      <x:c r="G17" s="17" t="str">
        <x:v>Rohit Malhotra</x:v>
      </x:c>
      <x:c r="H17" s="17" t="str">
        <x:v>Sakshi Sharma</x:v>
      </x:c>
      <x:c r="I17" s="17" t="str">
        <x:v>Priya Nair</x:v>
      </x:c>
      <x:c r="J17" s="17" t="str">
        <x:v>CUST-007</x:v>
      </x:c>
      <x:c r="K17" s="17" t="str">
        <x:v>Blue Star Limited</x:v>
      </x:c>
      <x:c r="L17" s="17" t="str">
        <x:v>INV-50102</x:v>
      </x:c>
      <x:c r="M17" s="17" t="str">
        <x:v>Courier</x:v>
      </x:c>
      <x:c r="N17" s="17" t="n">
        <x:v>1</x:v>
      </x:c>
      <x:c r="O17" s="17" t="str">
        <x:v>SUB-SRC-010</x:v>
      </x:c>
      <x:c r="P17" s="30" t="n">
        <x:v>46112</x:v>
      </x:c>
      <x:c r="Q17" s="17" t="str">
        <x:v>Sample event</x:v>
      </x:c>
    </x:row>
    <x:row r="18">
      <x:c r="A18" s="30" t="n">
        <x:v>46100</x:v>
      </x:c>
      <x:c r="B18" s="29" t="n">
        <x:f>YEAR(A18)</x:f>
        <x:v>2026</x:v>
      </x:c>
      <x:c r="C18" s="29" t="str">
        <x:f>"FY"&amp;IF(MONTH(A18)&gt;=4,YEAR(A18),YEAR(A18)-1)&amp;"-"&amp;RIGHT(IF(MONTH(A18)&gt;=4,YEAR(A18)+1,YEAR(A18))&amp;"",2)</x:f>
        <x:v>FY2025-26</x:v>
      </x:c>
      <x:c r="D18" s="29" t="str">
        <x:f>"Q"&amp;ROUNDUP(MONTH(A18)/3,0)&amp;" "&amp;YEAR(A18)</x:f>
        <x:v>Q1 2026</x:v>
      </x:c>
      <x:c r="E18" s="29" t="str">
        <x:f>TEXT(A18,"mmm yyyy")</x:f>
        <x:v>Mar 2026</x:v>
      </x:c>
      <x:c r="F18" s="17" t="str">
        <x:v>Riya Nair</x:v>
      </x:c>
      <x:c r="G18" s="17" t="str">
        <x:v>Rohit Malhotra</x:v>
      </x:c>
      <x:c r="H18" s="17" t="str">
        <x:v>Abhishek Sharma</x:v>
      </x:c>
      <x:c r="I18" s="17" t="str">
        <x:v>Ankit Verma</x:v>
      </x:c>
      <x:c r="J18" s="17" t="str">
        <x:v>CUST-013</x:v>
      </x:c>
      <x:c r="K18" s="17" t="str">
        <x:v>Varun Beverages</x:v>
      </x:c>
      <x:c r="L18" s="17" t="str">
        <x:v>INV-50103</x:v>
      </x:c>
      <x:c r="M18" s="17" t="str">
        <x:v>Physically submitted</x:v>
      </x:c>
      <x:c r="N18" s="17" t="n">
        <x:v>1</x:v>
      </x:c>
      <x:c r="O18" s="17" t="str">
        <x:v>SUB-SRC-011</x:v>
      </x:c>
      <x:c r="P18" s="30" t="n">
        <x:v>46112</x:v>
      </x:c>
      <x:c r="Q18" s="17" t="str">
        <x:v>Sample event</x:v>
      </x:c>
    </x:row>
    <x:row r="19">
      <x:c r="A19" s="30" t="n">
        <x:v>46107</x:v>
      </x:c>
      <x:c r="B19" s="29" t="n">
        <x:f>YEAR(A19)</x:f>
        <x:v>2026</x:v>
      </x:c>
      <x:c r="C19" s="29" t="str">
        <x:f>"FY"&amp;IF(MONTH(A19)&gt;=4,YEAR(A19),YEAR(A19)-1)&amp;"-"&amp;RIGHT(IF(MONTH(A19)&gt;=4,YEAR(A19)+1,YEAR(A19))&amp;"",2)</x:f>
        <x:v>FY2025-26</x:v>
      </x:c>
      <x:c r="D19" s="29" t="str">
        <x:f>"Q"&amp;ROUNDUP(MONTH(A19)/3,0)&amp;" "&amp;YEAR(A19)</x:f>
        <x:v>Q1 2026</x:v>
      </x:c>
      <x:c r="E19" s="29" t="str">
        <x:f>TEXT(A19,"mmm yyyy")</x:f>
        <x:v>Mar 2026</x:v>
      </x:c>
      <x:c r="F19" s="17" t="str">
        <x:v>Vikram Das</x:v>
      </x:c>
      <x:c r="G19" s="17" t="str">
        <x:v>Mukesh Mishra</x:v>
      </x:c>
      <x:c r="H19" s="17" t="str">
        <x:v>Palak Choudhary</x:v>
      </x:c>
      <x:c r="I19" s="17" t="str">
        <x:v>Manish Kumar</x:v>
      </x:c>
      <x:c r="J19" s="17" t="str">
        <x:v>CUST-021</x:v>
      </x:c>
      <x:c r="K19" s="17" t="str">
        <x:v>Shiva Healthcare Pvt Ltd</x:v>
      </x:c>
      <x:c r="L19" s="17" t="str">
        <x:v>INV-50104</x:v>
      </x:c>
      <x:c r="M19" s="17" t="str">
        <x:v>Email</x:v>
      </x:c>
      <x:c r="N19" s="17" t="n">
        <x:v>1</x:v>
      </x:c>
      <x:c r="O19" s="17" t="str">
        <x:v>SUB-SRC-012</x:v>
      </x:c>
      <x:c r="P19" s="30" t="n">
        <x:v>46112</x:v>
      </x:c>
      <x:c r="Q19" s="17" t="str">
        <x:v>Sample event</x:v>
      </x:c>
    </x:row>
  </x:sheetData>
  <x:mergeCells>
    <x:mergeCell ref="A1:Q1"/>
    <x:mergeCell ref="A2:Q2"/>
    <x:mergeCell ref="A4:Q4"/>
  </x:mergeCells>
  <x:dataValidations count="2">
    <x:dataValidation type="list" sqref="M8:M200">
      <x:formula1>Lists!$E$2:$E$5</x:formula1>
    </x:dataValidation>
    <x:dataValidation type="whole" operator="between" sqref="N8:N200">
      <x:formula1>1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5" hidden="0" customWidth="1"/>
    <x:col min="4" max="4" width="24" hidden="0" customWidth="1"/>
    <x:col min="5" max="5" width="15" hidden="0" customWidth="1"/>
    <x:col min="6" max="6" width="20" hidden="0" customWidth="1"/>
    <x:col min="7" max="7" width="38" hidden="0" customWidth="1"/>
    <x:col min="8" max="8" width="12" hidden="0" customWidth="1"/>
    <x:col min="9" max="9" width="30" hidden="0" customWidth="1"/>
    <x:col min="10" max="10" width="43" hidden="0" customWidth="1"/>
    <x:col min="11" max="11" width="58" hidden="0" customWidth="1"/>
  </x:cols>
  <x:sheetData>
    <x:row r="1" ht="30" customHeight="1">
      <x:c r="A1" s="3" t="str">
        <x:v>Chart Field Map</x:v>
      </x:c>
    </x:row>
    <x:row r="2" ht="32" customHeight="1">
      <x:c r="A2" s="7" t="str">
        <x:v>Required source columns, calculations, chart types and card-scoped filters for every Trends chart.</x:v>
      </x:c>
    </x:row>
    <x:row r="5" ht="34" customHeight="1">
      <x:c r="A5" s="14" t="str">
        <x:v>Order</x:v>
      </x:c>
      <x:c r="B5" s="14" t="str">
        <x:v>Chart</x:v>
      </x:c>
      <x:c r="C5" s="14" t="str">
        <x:v>Card Size</x:v>
      </x:c>
      <x:c r="D5" s="14" t="str">
        <x:v>Series</x:v>
      </x:c>
      <x:c r="E5" s="14" t="str">
        <x:v>Visual</x:v>
      </x:c>
      <x:c r="F5" s="14" t="str">
        <x:v>Source Sheet</x:v>
      </x:c>
      <x:c r="G5" s="14" t="str">
        <x:v>Source Column(s)</x:v>
      </x:c>
      <x:c r="H5" s="14" t="str">
        <x:v>Unit</x:v>
      </x:c>
      <x:c r="I5" s="14" t="str">
        <x:v>Period Calculation</x:v>
      </x:c>
      <x:c r="J5" s="14" t="str">
        <x:v>Card Filters</x:v>
      </x:c>
      <x:c r="K5" s="14" t="str">
        <x:v>Calculation / Business Rule</x:v>
      </x:c>
    </x:row>
    <x:row r="6">
      <x:c r="A6" s="34" t="n">
        <x:v>1</x:v>
      </x:c>
      <x:c r="B6" s="33" t="str">
        <x:v>Collection, Billing &amp; PTP Target Trend</x:v>
      </x:c>
      <x:c r="C6" s="34" t="str">
        <x:v>XL (12 cols)</x:v>
      </x:c>
      <x:c r="D6" s="34" t="str">
        <x:v>Collection</x:v>
      </x:c>
      <x:c r="E6" s="34" t="str">
        <x:v>Line</x:v>
      </x:c>
      <x:c r="F6" s="33" t="str">
        <x:v>AR_Trend_Data</x:v>
      </x:c>
      <x:c r="G6" s="33" t="str">
        <x:v>Collection (Rs. Cr)</x:v>
      </x:c>
      <x:c r="H6" s="33" t="str">
        <x:v>Rs. Cr</x:v>
      </x:c>
      <x:c r="I6" s="33" t="str">
        <x:v>SUM by displayed period</x:v>
      </x:c>
      <x:c r="J6" s="33" t="str">
        <x:v>Agent; Manager; KAM; KAS; City; Customer; Due / Not Due</x:v>
      </x:c>
      <x:c r="K6" s="33" t="str">
        <x:v>Collection = sum of realized collection rows after active filters.</x:v>
      </x:c>
    </x:row>
    <x:row r="7">
      <x:c r="A7" s="34" t="n">
        <x:v>1</x:v>
      </x:c>
      <x:c r="B7" s="33" t="str">
        <x:v>Collection, Billing &amp; PTP Target Trend</x:v>
      </x:c>
      <x:c r="C7" s="34" t="str">
        <x:v>XL (12 cols)</x:v>
      </x:c>
      <x:c r="D7" s="34" t="str">
        <x:v>New Billing</x:v>
      </x:c>
      <x:c r="E7" s="34" t="str">
        <x:v>Line</x:v>
      </x:c>
      <x:c r="F7" s="33" t="str">
        <x:v>AR_Trend_Data</x:v>
      </x:c>
      <x:c r="G7" s="33" t="str">
        <x:v>New Billing (Rs. Cr)</x:v>
      </x:c>
      <x:c r="H7" s="33" t="str">
        <x:v>Rs. Cr</x:v>
      </x:c>
      <x:c r="I7" s="33" t="str">
        <x:v>SUM by displayed period</x:v>
      </x:c>
      <x:c r="J7" s="33" t="str">
        <x:v>Same as above</x:v>
      </x:c>
      <x:c r="K7" s="33" t="str">
        <x:v>New Billing = sum of invoices billed during the displayed period.</x:v>
      </x:c>
    </x:row>
    <x:row r="8">
      <x:c r="A8" s="34" t="n">
        <x:v>1</x:v>
      </x:c>
      <x:c r="B8" s="33" t="str">
        <x:v>Collection, Billing &amp; PTP Target Trend</x:v>
      </x:c>
      <x:c r="C8" s="34" t="str">
        <x:v>XL (12 cols)</x:v>
      </x:c>
      <x:c r="D8" s="34" t="str">
        <x:v>PTP Target</x:v>
      </x:c>
      <x:c r="E8" s="34" t="str">
        <x:v>Line</x:v>
      </x:c>
      <x:c r="F8" s="33" t="str">
        <x:v>AR_Trend_Data</x:v>
      </x:c>
      <x:c r="G8" s="33" t="str">
        <x:v>PTP Target (Rs. Cr)</x:v>
      </x:c>
      <x:c r="H8" s="33" t="str">
        <x:v>Rs. Cr</x:v>
      </x:c>
      <x:c r="I8" s="33" t="str">
        <x:v>SUM by displayed period</x:v>
      </x:c>
      <x:c r="J8" s="33" t="str">
        <x:v>Same as above</x:v>
      </x:c>
      <x:c r="K8" s="33" t="str">
        <x:v>Committed PTP monetary value only; not collected PTP and not Plan.</x:v>
      </x:c>
    </x:row>
    <x:row r="9">
      <x:c r="A9" s="34" t="n">
        <x:v>2</x:v>
      </x:c>
      <x:c r="B9" s="33" t="str">
        <x:v>Plan vs Portfolio Trend</x:v>
      </x:c>
      <x:c r="C9" s="34" t="str">
        <x:v>M (6 cols)</x:v>
      </x:c>
      <x:c r="D9" s="34" t="str">
        <x:v>Portfolio</x:v>
      </x:c>
      <x:c r="E9" s="34" t="str">
        <x:v>Line</x:v>
      </x:c>
      <x:c r="F9" s="33" t="str">
        <x:v>AR_Trend_Data</x:v>
      </x:c>
      <x:c r="G9" s="33" t="str">
        <x:v>Portfolio (Rs. Cr); Closing Snapshot</x:v>
      </x:c>
      <x:c r="H9" s="33" t="str">
        <x:v>Rs. Cr</x:v>
      </x:c>
      <x:c r="I9" s="33" t="str">
        <x:v>SUM latest closing snapshot rows per period</x:v>
      </x:c>
      <x:c r="J9" s="33" t="str">
        <x:v>Collection filters + Customer Category</x:v>
      </x:c>
      <x:c r="K9" s="33" t="str">
        <x:v>Outstanding assigned portfolio at the closing period.</x:v>
      </x:c>
    </x:row>
    <x:row r="10">
      <x:c r="A10" s="34" t="n">
        <x:v>2</x:v>
      </x:c>
      <x:c r="B10" s="33" t="str">
        <x:v>Plan vs Portfolio Trend</x:v>
      </x:c>
      <x:c r="C10" s="34" t="str">
        <x:v>M (6 cols)</x:v>
      </x:c>
      <x:c r="D10" s="34" t="str">
        <x:v>Plan</x:v>
      </x:c>
      <x:c r="E10" s="34" t="str">
        <x:v>Line</x:v>
      </x:c>
      <x:c r="F10" s="33" t="str">
        <x:v>AR_Trend_Data</x:v>
      </x:c>
      <x:c r="G10" s="33" t="str">
        <x:v>Plan (Rs. Cr)</x:v>
      </x:c>
      <x:c r="H10" s="33" t="str">
        <x:v>Rs. Cr</x:v>
      </x:c>
      <x:c r="I10" s="33" t="str">
        <x:v>SUM by displayed period</x:v>
      </x:c>
      <x:c r="J10" s="33" t="str">
        <x:v>Collection filters + Customer Category</x:v>
      </x:c>
      <x:c r="K10" s="33" t="str">
        <x:v>Monthly commitment submitted weekly in Commitment panels; explicitly excludes PTP. Current prototype sample is around 79% of collection but production Plan is an independent source value.</x:v>
      </x:c>
    </x:row>
    <x:row r="11">
      <x:c r="A11" s="34" t="n">
        <x:v>3</x:v>
      </x:c>
      <x:c r="B11" s="33" t="str">
        <x:v>Visits Trend</x:v>
      </x:c>
      <x:c r="C11" s="34" t="str">
        <x:v>M (6 cols)</x:v>
      </x:c>
      <x:c r="D11" s="34" t="str">
        <x:v>Unique visits</x:v>
      </x:c>
      <x:c r="E11" s="34" t="str">
        <x:v>Stacked bar</x:v>
      </x:c>
      <x:c r="F11" s="33" t="str">
        <x:v>Visit_Data</x:v>
      </x:c>
      <x:c r="G11" s="33" t="str">
        <x:v>Customer ID; Visit Count</x:v>
      </x:c>
      <x:c r="H11" s="33" t="str">
        <x:v>Count</x:v>
      </x:c>
      <x:c r="I11" s="33" t="str">
        <x:v>COUNT DISTINCT Customer ID by displayed period</x:v>
      </x:c>
      <x:c r="J11" s="33" t="str">
        <x:v>Agent; Manager; KAM; KAS; Due / Not Due; searchable Customer</x:v>
      </x:c>
      <x:c r="K11" s="33" t="str">
        <x:v>One customer contributes one unique visit per displayed period.</x:v>
      </x:c>
    </x:row>
    <x:row r="12">
      <x:c r="A12" s="34" t="n">
        <x:v>3</x:v>
      </x:c>
      <x:c r="B12" s="33" t="str">
        <x:v>Visits Trend</x:v>
      </x:c>
      <x:c r="C12" s="34" t="str">
        <x:v>M (6 cols)</x:v>
      </x:c>
      <x:c r="D12" s="34" t="str">
        <x:v>Repeat visits</x:v>
      </x:c>
      <x:c r="E12" s="34" t="str">
        <x:v>Stacked bar</x:v>
      </x:c>
      <x:c r="F12" s="33" t="str">
        <x:v>Visit_Data</x:v>
      </x:c>
      <x:c r="G12" s="33" t="str">
        <x:v>Customer ID; Visit Count</x:v>
      </x:c>
      <x:c r="H12" s="33" t="str">
        <x:v>Count</x:v>
      </x:c>
      <x:c r="I12" s="33" t="str">
        <x:v>SUM Visit Count minus distinct Customer ID</x:v>
      </x:c>
      <x:c r="J12" s="33" t="str">
        <x:v>Same as above</x:v>
      </x:c>
      <x:c r="K12" s="33" t="str">
        <x:v>Repeat visits = Total visits - Unique visits. Total visits is shown in tooltip.</x:v>
      </x:c>
    </x:row>
    <x:row r="13">
      <x:c r="A13" s="34" t="n">
        <x:v>4</x:v>
      </x:c>
      <x:c r="B13" s="33" t="str">
        <x:v>Invoice Submission</x:v>
      </x:c>
      <x:c r="C13" s="34" t="str">
        <x:v>S (4 cols)</x:v>
      </x:c>
      <x:c r="D13" s="34" t="str">
        <x:v>Physically submitted</x:v>
      </x:c>
      <x:c r="E13" s="34" t="str">
        <x:v>Stacked bar</x:v>
      </x:c>
      <x:c r="F13" s="33" t="str">
        <x:v>Submission_Data</x:v>
      </x:c>
      <x:c r="G13" s="33" t="str">
        <x:v>Submission Channel; Submission Count</x:v>
      </x:c>
      <x:c r="H13" s="33" t="str">
        <x:v>Count</x:v>
      </x:c>
      <x:c r="I13" s="33" t="str">
        <x:v>SUM Submission Count where channel matches</x:v>
      </x:c>
      <x:c r="J13" s="33" t="str">
        <x:v>Agent; Manager; KAM; KAS; Customer</x:v>
      </x:c>
      <x:c r="K13" s="33" t="str">
        <x:v>Count of physical submission events.</x:v>
      </x:c>
    </x:row>
    <x:row r="14">
      <x:c r="A14" s="34" t="n">
        <x:v>4</x:v>
      </x:c>
      <x:c r="B14" s="33" t="str">
        <x:v>Invoice Submission</x:v>
      </x:c>
      <x:c r="C14" s="34" t="str">
        <x:v>S (4 cols)</x:v>
      </x:c>
      <x:c r="D14" s="34" t="str">
        <x:v>Courier</x:v>
      </x:c>
      <x:c r="E14" s="34" t="str">
        <x:v>Stacked bar</x:v>
      </x:c>
      <x:c r="F14" s="33" t="str">
        <x:v>Submission_Data</x:v>
      </x:c>
      <x:c r="G14" s="33" t="str">
        <x:v>Submission Channel; Submission Count</x:v>
      </x:c>
      <x:c r="H14" s="33" t="str">
        <x:v>Count</x:v>
      </x:c>
      <x:c r="I14" s="33" t="str">
        <x:v>SUM Submission Count where channel matches</x:v>
      </x:c>
      <x:c r="J14" s="33" t="str">
        <x:v>Same as above</x:v>
      </x:c>
      <x:c r="K14" s="33" t="str">
        <x:v>Count of courier submission events.</x:v>
      </x:c>
    </x:row>
    <x:row r="15">
      <x:c r="A15" s="34" t="n">
        <x:v>4</x:v>
      </x:c>
      <x:c r="B15" s="33" t="str">
        <x:v>Invoice Submission</x:v>
      </x:c>
      <x:c r="C15" s="34" t="str">
        <x:v>S (4 cols)</x:v>
      </x:c>
      <x:c r="D15" s="34" t="str">
        <x:v>Email</x:v>
      </x:c>
      <x:c r="E15" s="34" t="str">
        <x:v>Stacked bar</x:v>
      </x:c>
      <x:c r="F15" s="33" t="str">
        <x:v>Submission_Data</x:v>
      </x:c>
      <x:c r="G15" s="33" t="str">
        <x:v>Submission Channel; Submission Count</x:v>
      </x:c>
      <x:c r="H15" s="33" t="str">
        <x:v>Count</x:v>
      </x:c>
      <x:c r="I15" s="33" t="str">
        <x:v>SUM Submission Count where channel matches</x:v>
      </x:c>
      <x:c r="J15" s="33" t="str">
        <x:v>Same as above</x:v>
      </x:c>
      <x:c r="K15" s="33" t="str">
        <x:v>Count of email submission events.</x:v>
      </x:c>
    </x:row>
    <x:row r="16">
      <x:c r="A16" s="34" t="n">
        <x:v>4</x:v>
      </x:c>
      <x:c r="B16" s="33" t="str">
        <x:v>Invoice Submission</x:v>
      </x:c>
      <x:c r="C16" s="34" t="str">
        <x:v>S (4 cols)</x:v>
      </x:c>
      <x:c r="D16" s="34" t="str">
        <x:v>External submission</x:v>
      </x:c>
      <x:c r="E16" s="34" t="str">
        <x:v>Stacked bar</x:v>
      </x:c>
      <x:c r="F16" s="33" t="str">
        <x:v>Submission_Data</x:v>
      </x:c>
      <x:c r="G16" s="33" t="str">
        <x:v>Submission Channel; Submission Count</x:v>
      </x:c>
      <x:c r="H16" s="33" t="str">
        <x:v>Count</x:v>
      </x:c>
      <x:c r="I16" s="33" t="str">
        <x:v>SUM Submission Count where channel matches</x:v>
      </x:c>
      <x:c r="J16" s="33" t="str">
        <x:v>Same as above</x:v>
      </x:c>
      <x:c r="K16" s="33" t="str">
        <x:v>Count of external-portal or external-process submission events.</x:v>
      </x:c>
    </x:row>
    <x:row r="17">
      <x:c r="A17" s="34" t="n">
        <x:v>5</x:v>
      </x:c>
      <x:c r="B17" s="33" t="str">
        <x:v>Aging Buckets</x:v>
      </x:c>
      <x:c r="C17" s="34" t="str">
        <x:v>S (4 cols)</x:v>
      </x:c>
      <x:c r="D17" s="34" t="str">
        <x:v>0-30</x:v>
      </x:c>
      <x:c r="E17" s="34" t="str">
        <x:v>Stacked area</x:v>
      </x:c>
      <x:c r="F17" s="33" t="str">
        <x:v>AR_Trend_Data</x:v>
      </x:c>
      <x:c r="G17" s="33" t="str">
        <x:v>Aging 0-30 (Rs. Cr); Closing Snapshot</x:v>
      </x:c>
      <x:c r="H17" s="33" t="str">
        <x:v>Rs. Cr</x:v>
      </x:c>
      <x:c r="I17" s="33" t="str">
        <x:v>SUM latest closing snapshot rows per period</x:v>
      </x:c>
      <x:c r="J17" s="33" t="str">
        <x:v>Agent; Manager; KAM; KAS; Customer</x:v>
      </x:c>
      <x:c r="K17" s="33" t="str">
        <x:v>Outstanding value aged 0-30 days at period close.</x:v>
      </x:c>
    </x:row>
    <x:row r="18">
      <x:c r="A18" s="34" t="n">
        <x:v>5</x:v>
      </x:c>
      <x:c r="B18" s="33" t="str">
        <x:v>Aging Buckets</x:v>
      </x:c>
      <x:c r="C18" s="34" t="str">
        <x:v>S (4 cols)</x:v>
      </x:c>
      <x:c r="D18" s="34" t="str">
        <x:v>31-60</x:v>
      </x:c>
      <x:c r="E18" s="34" t="str">
        <x:v>Stacked area</x:v>
      </x:c>
      <x:c r="F18" s="33" t="str">
        <x:v>AR_Trend_Data</x:v>
      </x:c>
      <x:c r="G18" s="33" t="str">
        <x:v>Aging 31-60 (Rs. Cr); Closing Snapshot</x:v>
      </x:c>
      <x:c r="H18" s="33" t="str">
        <x:v>Rs. Cr</x:v>
      </x:c>
      <x:c r="I18" s="33" t="str">
        <x:v>SUM latest closing snapshot rows per period</x:v>
      </x:c>
      <x:c r="J18" s="33" t="str">
        <x:v>Same as above</x:v>
      </x:c>
      <x:c r="K18" s="33" t="str">
        <x:v>Outstanding value aged 31-60 days at period close.</x:v>
      </x:c>
    </x:row>
    <x:row r="19">
      <x:c r="A19" s="34" t="n">
        <x:v>5</x:v>
      </x:c>
      <x:c r="B19" s="33" t="str">
        <x:v>Aging Buckets</x:v>
      </x:c>
      <x:c r="C19" s="34" t="str">
        <x:v>S (4 cols)</x:v>
      </x:c>
      <x:c r="D19" s="34" t="str">
        <x:v>61-90</x:v>
      </x:c>
      <x:c r="E19" s="34" t="str">
        <x:v>Stacked area</x:v>
      </x:c>
      <x:c r="F19" s="33" t="str">
        <x:v>AR_Trend_Data</x:v>
      </x:c>
      <x:c r="G19" s="33" t="str">
        <x:v>Aging 61-90 (Rs. Cr); Closing Snapshot</x:v>
      </x:c>
      <x:c r="H19" s="33" t="str">
        <x:v>Rs. Cr</x:v>
      </x:c>
      <x:c r="I19" s="33" t="str">
        <x:v>SUM latest closing snapshot rows per period</x:v>
      </x:c>
      <x:c r="J19" s="33" t="str">
        <x:v>Same as above</x:v>
      </x:c>
      <x:c r="K19" s="33" t="str">
        <x:v>Outstanding value aged 61-90 days at period close.</x:v>
      </x:c>
    </x:row>
    <x:row r="20">
      <x:c r="A20" s="34" t="n">
        <x:v>5</x:v>
      </x:c>
      <x:c r="B20" s="33" t="str">
        <x:v>Aging Buckets</x:v>
      </x:c>
      <x:c r="C20" s="34" t="str">
        <x:v>S (4 cols)</x:v>
      </x:c>
      <x:c r="D20" s="34" t="str">
        <x:v>90+</x:v>
      </x:c>
      <x:c r="E20" s="34" t="str">
        <x:v>Stacked area</x:v>
      </x:c>
      <x:c r="F20" s="33" t="str">
        <x:v>AR_Trend_Data</x:v>
      </x:c>
      <x:c r="G20" s="33" t="str">
        <x:v>Aging 90+ (Rs. Cr); Closing Snapshot</x:v>
      </x:c>
      <x:c r="H20" s="33" t="str">
        <x:v>Rs. Cr</x:v>
      </x:c>
      <x:c r="I20" s="33" t="str">
        <x:v>SUM latest closing snapshot rows per period</x:v>
      </x:c>
      <x:c r="J20" s="33" t="str">
        <x:v>Same as above</x:v>
      </x:c>
      <x:c r="K20" s="33" t="str">
        <x:v>Outstanding value aged more than 90 days at period close.</x:v>
      </x:c>
    </x:row>
    <x:row r="21">
      <x:c r="A21" s="34" t="n">
        <x:v>6</x:v>
      </x:c>
      <x:c r="B21" s="33" t="str">
        <x:v>CN / ADV Metrics</x:v>
      </x:c>
      <x:c r="C21" s="34" t="str">
        <x:v>S (4 cols)</x:v>
      </x:c>
      <x:c r="D21" s="34" t="str">
        <x:v>CN / ADV added</x:v>
      </x:c>
      <x:c r="E21" s="34" t="str">
        <x:v>Line</x:v>
      </x:c>
      <x:c r="F21" s="33" t="str">
        <x:v>AR_Trend_Data</x:v>
      </x:c>
      <x:c r="G21" s="33" t="str">
        <x:v>CN/ADV Added (Rs. Cr)</x:v>
      </x:c>
      <x:c r="H21" s="33" t="str">
        <x:v>Rs. Cr</x:v>
      </x:c>
      <x:c r="I21" s="33" t="str">
        <x:v>SUM by displayed period</x:v>
      </x:c>
      <x:c r="J21" s="33" t="str">
        <x:v>Agent; Manager; KAM; KAS; Customer</x:v>
      </x:c>
      <x:c r="K21" s="33" t="str">
        <x:v>Credit note or advance value added during the period.</x:v>
      </x:c>
    </x:row>
    <x:row r="22">
      <x:c r="A22" s="34" t="n">
        <x:v>6</x:v>
      </x:c>
      <x:c r="B22" s="33" t="str">
        <x:v>CN / ADV Metrics</x:v>
      </x:c>
      <x:c r="C22" s="34" t="str">
        <x:v>S (4 cols)</x:v>
      </x:c>
      <x:c r="D22" s="34" t="str">
        <x:v>CN / ADV utilised</x:v>
      </x:c>
      <x:c r="E22" s="34" t="str">
        <x:v>Line</x:v>
      </x:c>
      <x:c r="F22" s="33" t="str">
        <x:v>AR_Trend_Data</x:v>
      </x:c>
      <x:c r="G22" s="33" t="str">
        <x:v>CN/ADV Utilised (Rs. Cr)</x:v>
      </x:c>
      <x:c r="H22" s="33" t="str">
        <x:v>Rs. Cr</x:v>
      </x:c>
      <x:c r="I22" s="33" t="str">
        <x:v>SUM by displayed period</x:v>
      </x:c>
      <x:c r="J22" s="33" t="str">
        <x:v>Same as above</x:v>
      </x:c>
      <x:c r="K22" s="33" t="str">
        <x:v>Utilised value may exceed current-period additions because prior-period balances can be consumed.</x:v>
      </x:c>
    </x:row>
    <x:row r="23">
      <x:c r="A23" s="34" t="n">
        <x:v>7</x:v>
      </x:c>
      <x:c r="B23" s="33" t="str">
        <x:v>Provisioning</x:v>
      </x:c>
      <x:c r="C23" s="34" t="str">
        <x:v>M (6 cols)</x:v>
      </x:c>
      <x:c r="D23" s="34" t="str">
        <x:v>Provisioning</x:v>
      </x:c>
      <x:c r="E23" s="34" t="str">
        <x:v>Line / area</x:v>
      </x:c>
      <x:c r="F23" s="33" t="str">
        <x:v>AR_Trend_Data</x:v>
      </x:c>
      <x:c r="G23" s="33" t="str">
        <x:v>Provisioning (Rs. Cr)</x:v>
      </x:c>
      <x:c r="H23" s="33" t="str">
        <x:v>Rs. Cr</x:v>
      </x:c>
      <x:c r="I23" s="33" t="str">
        <x:v>SUM by displayed period</x:v>
      </x:c>
      <x:c r="J23" s="33" t="str">
        <x:v>Agent; Manager; KAM; KAS; Customer</x:v>
      </x:c>
      <x:c r="K23" s="33" t="str">
        <x:v>Provisioning value recognized for the selected receivables scope and period.</x:v>
      </x:c>
    </x:row>
    <x:row r="24">
      <x:c r="A24" s="34" t="n">
        <x:v>8</x:v>
      </x:c>
      <x:c r="B24" s="33" t="str">
        <x:v>Written Off</x:v>
      </x:c>
      <x:c r="C24" s="34" t="str">
        <x:v>M (6 cols)</x:v>
      </x:c>
      <x:c r="D24" s="34" t="str">
        <x:v>Written Off</x:v>
      </x:c>
      <x:c r="E24" s="34" t="str">
        <x:v>Bar</x:v>
      </x:c>
      <x:c r="F24" s="33" t="str">
        <x:v>AR_Trend_Data</x:v>
      </x:c>
      <x:c r="G24" s="33" t="str">
        <x:v>Written Off (Rs. Cr)</x:v>
      </x:c>
      <x:c r="H24" s="33" t="str">
        <x:v>Rs. Cr</x:v>
      </x:c>
      <x:c r="I24" s="33" t="str">
        <x:v>SUM by displayed period</x:v>
      </x:c>
      <x:c r="J24" s="33" t="str">
        <x:v>Agent; Manager; KAM; KAS; Customer</x:v>
      </x:c>
      <x:c r="K24" s="33" t="str">
        <x:v>Receivable value formally written off during the displayed period.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36" hidden="0" customWidth="1"/>
    <x:col min="5" max="5" width="25" hidden="0" customWidth="1"/>
    <x:col min="6" max="6" width="18" hidden="0" customWidth="1"/>
    <x:col min="7" max="7" width="16" hidden="0" customWidth="1"/>
    <x:col min="8" max="8" width="14" hidden="0" customWidth="1"/>
  </x:cols>
  <x:sheetData>
    <x:row r="1" ht="30" customHeight="1">
      <x:c r="A1" s="3" t="str">
        <x:v>Controlled Lists</x:v>
      </x:c>
    </x:row>
    <x:row r="2" ht="32" customHeight="1">
      <x:c r="A2" s="7" t="str">
        <x:v>Values used by workbook validations and dashboard filters. Additions should be coordinated with the application vocabulary.</x:v>
      </x:c>
    </x:row>
    <x:row r="5" ht="34" customHeight="1">
      <x:c r="A5" s="14" t="str">
        <x:v>Period Grain</x:v>
      </x:c>
      <x:c r="B5" s="14" t="str">
        <x:v>Closing Snapshot</x:v>
      </x:c>
      <x:c r="C5" s="14" t="str">
        <x:v>Customer Category</x:v>
      </x:c>
      <x:c r="D5" s="14" t="str">
        <x:v>Due Status</x:v>
      </x:c>
      <x:c r="E5" s="14" t="str">
        <x:v>Submission Channel</x:v>
      </x:c>
      <x:c r="F5" s="14" t="str">
        <x:v>Card Size</x:v>
      </x:c>
      <x:c r="G5" s="14" t="str">
        <x:v>Currency Unit</x:v>
      </x:c>
      <x:c r="H5" s="14" t="str">
        <x:v>Count Unit</x:v>
      </x:c>
    </x:row>
    <x:row r="6">
      <x:c r="A6" s="17" t="str">
        <x:v>Daily</x:v>
      </x:c>
      <x:c r="B6" s="17" t="str">
        <x:v>Yes</x:v>
      </x:c>
      <x:c r="C6" s="17" t="str">
        <x:v>Public</x:v>
      </x:c>
      <x:c r="D6" s="17" t="str">
        <x:v>Due</x:v>
      </x:c>
      <x:c r="E6" s="17" t="str">
        <x:v>Physically submitted</x:v>
      </x:c>
      <x:c r="F6" s="17" t="str">
        <x:v>XS (3 cols)</x:v>
      </x:c>
      <x:c r="G6" s="17" t="str">
        <x:v>Rs. Cr</x:v>
      </x:c>
      <x:c r="H6" s="17" t="str">
        <x:v>Count</x:v>
      </x:c>
    </x:row>
    <x:row r="7">
      <x:c r="A7" s="17" t="str">
        <x:v>Monthly</x:v>
      </x:c>
      <x:c r="B7" s="17" t="str">
        <x:v>No</x:v>
      </x:c>
      <x:c r="C7" s="17" t="str">
        <x:v>Private</x:v>
      </x:c>
      <x:c r="D7" s="17" t="str">
        <x:v>Not Due</x:v>
      </x:c>
      <x:c r="E7" s="17" t="str">
        <x:v>Courier</x:v>
      </x:c>
      <x:c r="F7" s="17" t="str">
        <x:v>S (4 cols)</x:v>
      </x:c>
      <x:c r="G7" s="17"/>
      <x:c r="H7" s="17"/>
    </x:row>
    <x:row r="8">
      <x:c r="A8" s="17"/>
      <x:c r="B8" s="17"/>
      <x:c r="C8" s="17" t="str">
        <x:v>SKAM</x:v>
      </x:c>
      <x:c r="D8" s="17"/>
      <x:c r="E8" s="17" t="str">
        <x:v>Email</x:v>
      </x:c>
      <x:c r="F8" s="17" t="str">
        <x:v>M (6 cols)</x:v>
      </x:c>
      <x:c r="G8" s="17"/>
      <x:c r="H8" s="17"/>
    </x:row>
    <x:row r="9">
      <x:c r="A9" s="17"/>
      <x:c r="B9" s="17"/>
      <x:c r="C9" s="17" t="str">
        <x:v>Distributor</x:v>
      </x:c>
      <x:c r="D9" s="17"/>
      <x:c r="E9" s="17" t="str">
        <x:v>External submission</x:v>
      </x:c>
      <x:c r="F9" s="17" t="str">
        <x:v>L (9 cols)</x:v>
      </x:c>
      <x:c r="G9" s="17"/>
      <x:c r="H9" s="17"/>
    </x:row>
    <x:row r="10">
      <x:c r="A10" s="17"/>
      <x:c r="B10" s="17"/>
      <x:c r="C10" s="17" t="str">
        <x:v>Govt</x:v>
      </x:c>
      <x:c r="D10" s="17"/>
      <x:c r="E10" s="17"/>
      <x:c r="F10" s="17" t="str">
        <x:v>XL (12 cols)</x:v>
      </x:c>
      <x:c r="G10" s="17"/>
      <x:c r="H10" s="17"/>
    </x:row>
    <x:row r="12">
      <x:c r="A12" s="18" t="str">
        <x:v>Global period views</x:v>
      </x:c>
    </x:row>
    <x:row r="13">
      <x:c r="A13" s="22" t="str">
        <x:v>View</x:v>
      </x:c>
      <x:c r="B13" s="22" t="str">
        <x:v>Selector</x:v>
      </x:c>
      <x:c r="C13" s="22" t="str">
        <x:v>X-axis points</x:v>
      </x:c>
      <x:c r="D13" s="22" t="str">
        <x:v>Current-period rule</x:v>
      </x:c>
      <x:c r="E13" s="22" t="str"/>
      <x:c r="F13" s="22" t="str"/>
      <x:c r="G13" s="22" t="str"/>
      <x:c r="H13" s="22" t="str"/>
    </x:row>
    <x:row r="14">
      <x:c r="A14" s="23" t="str">
        <x:v>All Time</x:v>
      </x:c>
      <x:c r="B14" s="23" t="str">
        <x:v>None</x:v>
      </x:c>
      <x:c r="C14" s="23" t="str">
        <x:v>One point per year across seven years</x:v>
      </x:c>
      <x:c r="D14" s="23" t="str">
        <x:v>Last visible year is the latest available year</x:v>
      </x:c>
      <x:c r="E14" s="23" t="str"/>
      <x:c r="F14" s="23" t="str"/>
      <x:c r="G14" s="23" t="str"/>
      <x:c r="H14" s="23" t="str"/>
    </x:row>
    <x:row r="15">
      <x:c r="A15" s="23" t="str">
        <x:v>Yearly</x:v>
      </x:c>
      <x:c r="B15" s="23" t="str">
        <x:v>Multi-select Year</x:v>
      </x:c>
      <x:c r="C15" s="23" t="str">
        <x:v>Months</x:v>
      </x:c>
      <x:c r="D15" s="23" t="str">
        <x:v>Current year stops at latest available month</x:v>
      </x:c>
      <x:c r="E15" s="23" t="str"/>
      <x:c r="F15" s="23" t="str"/>
      <x:c r="G15" s="23" t="str"/>
      <x:c r="H15" s="23" t="str"/>
    </x:row>
    <x:row r="16">
      <x:c r="A16" s="23" t="str">
        <x:v>Fiscal Year</x:v>
      </x:c>
      <x:c r="B16" s="23" t="str">
        <x:v>Multi-select Fiscal Year</x:v>
      </x:c>
      <x:c r="C16" s="23" t="str">
        <x:v>Months Apr-Mar</x:v>
      </x:c>
      <x:c r="D16" s="23" t="str">
        <x:v>Current fiscal year stops at latest available month</x:v>
      </x:c>
      <x:c r="E16" s="23" t="str"/>
      <x:c r="F16" s="23" t="str"/>
      <x:c r="G16" s="23" t="str"/>
      <x:c r="H16" s="23" t="str"/>
    </x:row>
    <x:row r="17">
      <x:c r="A17" s="23" t="str">
        <x:v>Quarterly</x:v>
      </x:c>
      <x:c r="B17" s="23" t="str">
        <x:v>Multi-select Quarter</x:v>
      </x:c>
      <x:c r="C17" s="23" t="str">
        <x:v>Months in selected quarters</x:v>
      </x:c>
      <x:c r="D17" s="23" t="str">
        <x:v>Current quarter stops at latest available month</x:v>
      </x:c>
      <x:c r="E17" s="23" t="str"/>
      <x:c r="F17" s="23" t="str"/>
      <x:c r="G17" s="23" t="str"/>
      <x:c r="H17" s="23" t="str"/>
    </x:row>
    <x:row r="18">
      <x:c r="A18" s="23" t="str">
        <x:v>Monthly</x:v>
      </x:c>
      <x:c r="B18" s="23" t="str">
        <x:v>Multi-select Month</x:v>
      </x:c>
      <x:c r="C18" s="23" t="str">
        <x:v>Days</x:v>
      </x:c>
      <x:c r="D18" s="23" t="str">
        <x:v>Current month stops at latest available day</x:v>
      </x:c>
      <x:c r="E18" s="23" t="str"/>
      <x:c r="F18" s="23" t="str"/>
      <x:c r="G18" s="23" t="str"/>
      <x:c r="H18" s="23" t="str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8" hidden="0" customWidth="1"/>
    <x:col min="4" max="4" width="14" hidden="0" customWidth="1"/>
    <x:col min="5" max="5" width="60" hidden="0" customWidth="1"/>
  </x:cols>
  <x:sheetData>
    <x:row r="1" ht="30" customHeight="1">
      <x:c r="A1" s="3" t="str">
        <x:v>Workbook Checks</x:v>
      </x:c>
    </x:row>
    <x:row r="2" ht="32" customHeight="1">
      <x:c r="A2" s="7" t="str">
        <x:v>Formula checks over the included sample/import area. Extend the referenced row limits if more than 200 rows are loaded.</x:v>
      </x:c>
    </x:row>
    <x:row r="5" ht="34" customHeight="1">
      <x:c r="A5" s="14" t="str">
        <x:v>Check</x:v>
      </x:c>
      <x:c r="B5" s="14" t="str">
        <x:v>Expected</x:v>
      </x:c>
      <x:c r="C5" s="14" t="str">
        <x:v>Actual</x:v>
      </x:c>
      <x:c r="D5" s="14" t="str">
        <x:v>Status</x:v>
      </x:c>
      <x:c r="E5" s="14" t="str">
        <x:v>Interpretation</x:v>
      </x:c>
    </x:row>
    <x:row r="6">
      <x:c r="A6" s="17" t="str">
        <x:v>AR data rows</x:v>
      </x:c>
      <x:c r="B6" s="17" t="str">
        <x:v>&gt; 0</x:v>
      </x:c>
      <x:c r="C6" s="17" t="n">
        <x:f>COUNTA(AR_Trend_Data!A8:A200)</x:f>
        <x:v>12</x:v>
      </x:c>
      <x:c r="D6" s="17" t="str">
        <x:f>IF(C6&gt;0,"PASS","REVIEW")</x:f>
        <x:v>PASS</x:v>
      </x:c>
      <x:c r="E6" s="17" t="str">
        <x:v>At least one populated AR metric row.</x:v>
      </x:c>
    </x:row>
    <x:row r="7">
      <x:c r="A7" s="17" t="str">
        <x:v>Aging reconciliation variance</x:v>
      </x:c>
      <x:c r="B7" s="17" t="str">
        <x:v>0.00</x:v>
      </x:c>
      <x:c r="C7" s="17" t="n">
        <x:f>ROUND(SUM(AR_Trend_Data!AA8:AA200)-SUM(AR_Trend_Data!W8:Z200),2)</x:f>
        <x:v>0</x:v>
      </x:c>
      <x:c r="D7" s="17" t="str">
        <x:f>IF(ABS(C7)&lt;=0.01,"PASS","REVIEW")</x:f>
        <x:v>PASS</x:v>
      </x:c>
      <x:c r="E7" s="17" t="str">
        <x:v>Aging Total must equal the four aging bucket columns.</x:v>
      </x:c>
    </x:row>
    <x:row r="8">
      <x:c r="A8" s="17" t="str">
        <x:v>Plan / Collection ratio</x:v>
      </x:c>
      <x:c r="B8" s="17" t="str">
        <x:v>70%-90%</x:v>
      </x:c>
      <x:c r="C8" s="37" t="n">
        <x:f>IFERROR(SUM(AR_Trend_Data!U8:U200)/SUM(AR_Trend_Data!R8:R200),0)</x:f>
        <x:v>0.7913043478260868</x:v>
      </x:c>
      <x:c r="D8" s="17" t="str">
        <x:f>IF(AND(C8&gt;=0.7,C8&lt;=0.9),"PASS","REVIEW")</x:f>
        <x:v>PASS</x:v>
      </x:c>
      <x:c r="E8" s="17" t="str">
        <x:v>Prototype sample is around 79%; production Plan remains an independent Commitment-panel value.</x:v>
      </x:c>
    </x:row>
    <x:row r="9">
      <x:c r="A9" s="17" t="str">
        <x:v>Visit event rows</x:v>
      </x:c>
      <x:c r="B9" s="17" t="str">
        <x:v>&gt; 0</x:v>
      </x:c>
      <x:c r="C9" s="17" t="n">
        <x:f>COUNTA(Visit_Data!A8:A200)</x:f>
        <x:v>15</x:v>
      </x:c>
      <x:c r="D9" s="17" t="str">
        <x:f>IF(C9&gt;0,"PASS","REVIEW")</x:f>
        <x:v>PASS</x:v>
      </x:c>
      <x:c r="E9" s="17" t="str">
        <x:v>Each visit is represented once.</x:v>
      </x:c>
    </x:row>
    <x:row r="10">
      <x:c r="A10" s="17" t="str">
        <x:v>Submission event rows</x:v>
      </x:c>
      <x:c r="B10" s="17" t="str">
        <x:v>&gt; 0</x:v>
      </x:c>
      <x:c r="C10" s="17" t="n">
        <x:f>COUNTA(Submission_Data!A8:A200)</x:f>
        <x:v>12</x:v>
      </x:c>
      <x:c r="D10" s="17" t="str">
        <x:f>IF(C10&gt;0,"PASS","REVIEW")</x:f>
        <x:v>PASS</x:v>
      </x:c>
      <x:c r="E10" s="17" t="str">
        <x:v>Each invoice submission event is represented once.</x:v>
      </x:c>
    </x:row>
    <x:row r="11">
      <x:c r="A11" s="17" t="str">
        <x:v>CN/ADV crossover rows</x:v>
      </x:c>
      <x:c r="B11" s="17" t="str">
        <x:v>&gt; 0</x:v>
      </x:c>
      <x:c r="C11" s="17" t="n">
        <x:f>SUMPRODUCT(--(AR_Trend_Data!AC8:AC200&gt;AR_Trend_Data!AB8:AB200))</x:f>
        <x:v>6</x:v>
      </x:c>
      <x:c r="D11" s="17" t="str">
        <x:f>IF(C11&gt;0,"PASS","REVIEW")</x:f>
        <x:v>PASS</x:v>
      </x:c>
      <x:c r="E11" s="17" t="str">
        <x:v>At least one sample period demonstrates utilisation above current-period additions.</x:v>
      </x:c>
    </x:row>
  </x:sheetData>
  <x:mergeCells>
    <x:mergeCell ref="A1:E1"/>
    <x:mergeCell ref="A2:E2"/>
  </x:mergeCells>
  <x:conditionalFormatting sqref="D6:D11">
    <x:cfRule type="containsText" dxfId="0" priority="1" operator="containsText" text="PASS"/>
    <x:cfRule type="containsText" dxfId="1" priority="2" operator="containsText" text="REVIEW"/>
  </x:conditionalFormatting>
  <x:pageMargins left="0.7" right="0.7" top="0.75" bottom="0.75" header="0.3" footer="0.3"/>
</x:worksheet>
</file>