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8f9121ee7584cbf" /></Relationships>
</file>

<file path=xl/workbook.xml><?xml version="1.0" encoding="utf-8"?>
<x:workbook xmlns:x="http://schemas.openxmlformats.org/spreadsheetml/2006/main">
  <x:sheets>
    <x:sheet xmlns:r="http://schemas.openxmlformats.org/officeDocument/2006/relationships" name="Summary" sheetId="1" r:id="Rc3d69b8a50864e9c"/>
    <x:sheet xmlns:r="http://schemas.openxmlformats.org/officeDocument/2006/relationships" name="Test Cases" sheetId="2" r:id="R5bde98e997324641"/>
    <x:sheet xmlns:r="http://schemas.openxmlformats.org/officeDocument/2006/relationships" name="Coverage" sheetId="3" r:id="Rf2b1807c34df4051"/>
    <x:sheet xmlns:r="http://schemas.openxmlformats.org/officeDocument/2006/relationships" name="Edge Cases" sheetId="4" r:id="Rc22df0ee410f4e8f"/>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sz val="11"/>
      <x:color rgb="FFFFFFFF"/>
      <x:name val="Carlito"/>
    </x:font>
    <x:font>
      <x:b/>
      <x:sz val="11"/>
      <x:color rgb="FFFFFFFF"/>
      <x:name val="Carlito"/>
    </x:font>
    <x:font>
      <x:b/>
      <x:sz val="18"/>
      <x:color rgb="FFFFFFFF"/>
      <x:name val="Carlito"/>
    </x:font>
    <x:font>
      <x:b/>
      <x:sz val="11"/>
      <x:name val="Carlito"/>
    </x:font>
    <x:font>
      <x:b/>
      <x:sz val="11"/>
      <x:color rgb="FF1A1A1A"/>
      <x:name val="Carlito"/>
    </x:font>
    <x:font>
      <x:b/>
      <x:sz val="16"/>
      <x:name val="Carlito"/>
    </x:font>
    <x:font>
      <x:sz val="9"/>
      <x:name val="Carlito"/>
    </x:font>
    <x:font>
      <x:sz val="11"/>
      <x:color rgb="FF1F5FBF"/>
      <x:name val="Carlito"/>
    </x:font>
  </x:fonts>
  <x:fills count="9">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E2F0D9"/>
      </x:patternFill>
    </x:fill>
    <x:fill>
      <x:patternFill patternType="solid">
        <x:fgColor rgb="FFEAF3FF"/>
      </x:patternFill>
    </x:fill>
    <x:fill>
      <x:patternFill patternType="solid">
        <x:fgColor rgb="FFFFF2CC"/>
      </x:patternFill>
    </x:fill>
    <x:fill>
      <x:patternFill patternType="solid">
        <x:fgColor rgb="FFF7F9FC"/>
      </x:patternFill>
    </x:fill>
    <x:fill>
      <x:patternFill patternType="solid">
        <x:fgColor rgb="FFFDE9E7"/>
      </x:patternFill>
    </x:fill>
  </x:fills>
  <x:borders count="9">
    <x:border/>
    <x:border>
      <x:top/>
    </x:border>
    <x:border>
      <x:bottom/>
    </x:border>
    <x:border>
      <x:left/>
      <x:top/>
    </x:border>
    <x:border>
      <x:left/>
    </x:border>
    <x:border>
      <x:left/>
      <x:bottom/>
    </x:border>
    <x:border>
      <x:right/>
      <x:top/>
    </x:border>
    <x:border>
      <x:right/>
    </x:border>
    <x:border>
      <x:right/>
      <x:bottom/>
    </x:border>
  </x:borders>
  <x:cellStyleXfs count="1">
    <x:xf numFmtId="0" fontId="0" fillId="0" borderId="0"/>
  </x:cellStyleXfs>
  <x:cellXfs count="62">
    <x:xf numFmtId="0" fontId="0" fillId="0" borderId="0" xfId="0"/>
    <x:xf numFmtId="0" fontId="0" fillId="2"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3" fillId="2" borderId="0" xfId="0" applyNumberFormat="1" applyFont="1" applyFill="1" applyBorder="1"/>
    <x:xf numFmtId="0" fontId="0" fillId="3" borderId="0" xfId="0" applyNumberFormat="1" applyFont="1" applyFill="1" applyBorder="1"/>
    <x:xf numFmtId="0" fontId="4"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4" borderId="0" xfId="0" applyNumberFormat="1" applyFont="1" applyFill="1" applyBorder="1"/>
    <x:xf numFmtId="0" fontId="4" fillId="4" borderId="0" xfId="0" applyNumberFormat="1" applyFont="1" applyFill="1" applyBorder="1"/>
    <x:xf numFmtId="0" fontId="5" fillId="4"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wrapText="1"/>
    </x:xf>
    <x:xf numFmtId="0" fontId="6" fillId="5" borderId="1" xfId="0" applyNumberFormat="1" applyFont="1" applyFill="1" applyBorder="1" applyAlignment="1">
      <x:alignment wrapText="1"/>
    </x:xf>
    <x:xf numFmtId="0" fontId="6" fillId="5" borderId="2" xfId="0" applyNumberFormat="1" applyFont="1" applyFill="1" applyBorder="1" applyAlignment="1">
      <x:alignment wrapText="1"/>
    </x:xf>
    <x:xf numFmtId="0" fontId="6" fillId="5" borderId="3" xfId="0" applyNumberFormat="1" applyFont="1" applyFill="1" applyBorder="1" applyAlignment="1">
      <x:alignment wrapText="1"/>
    </x:xf>
    <x:xf numFmtId="0" fontId="6" fillId="5" borderId="4" xfId="0" applyNumberFormat="1" applyFont="1" applyFill="1" applyBorder="1" applyAlignment="1">
      <x:alignment wrapText="1"/>
    </x:xf>
    <x:xf numFmtId="0" fontId="6" fillId="5" borderId="5" xfId="0" applyNumberFormat="1" applyFont="1" applyFill="1" applyBorder="1" applyAlignment="1">
      <x:alignment wrapText="1"/>
    </x:xf>
    <x:xf numFmtId="0" fontId="6" fillId="5" borderId="6" xfId="0" applyNumberFormat="1" applyFont="1" applyFill="1" applyBorder="1" applyAlignment="1">
      <x:alignment wrapText="1"/>
    </x:xf>
    <x:xf numFmtId="0" fontId="6" fillId="5" borderId="7" xfId="0" applyNumberFormat="1" applyFont="1" applyFill="1" applyBorder="1" applyAlignment="1">
      <x:alignment wrapText="1"/>
    </x:xf>
    <x:xf numFmtId="0" fontId="6" fillId="5" borderId="8" xfId="0" applyNumberFormat="1" applyFont="1" applyFill="1" applyBorder="1" applyAlignment="1">
      <x:alignment wrapText="1"/>
    </x:xf>
    <x:xf numFmtId="0" fontId="7" fillId="0" borderId="0" xfId="0" applyNumberFormat="1" applyFont="1" applyFill="1" applyBorder="1"/>
    <x:xf numFmtId="0" fontId="0" fillId="0" borderId="1"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4" xfId="0" applyNumberFormat="1" applyFont="1" applyFill="1" applyBorder="1" applyAlignment="1">
      <x:alignment wrapText="1"/>
    </x:xf>
    <x:xf numFmtId="0" fontId="4" fillId="0" borderId="5" xfId="0" applyNumberFormat="1" applyFont="1" applyFill="1" applyBorder="1" applyAlignment="1">
      <x:alignment wrapText="1"/>
    </x:xf>
    <x:xf numFmtId="0" fontId="0" fillId="6" borderId="0" xfId="0" applyNumberFormat="1" applyFont="1" applyFill="1" applyBorder="1"/>
    <x:xf numFmtId="0" fontId="4" fillId="6" borderId="0" xfId="0" applyNumberFormat="1" applyFont="1" applyFill="1" applyBorder="1"/>
    <x:xf numFmtId="0" fontId="5" fillId="6" borderId="0" xfId="0" applyNumberFormat="1" applyFont="1" applyFill="1" applyBorder="1"/>
    <x:xf numFmtId="0" fontId="0" fillId="7" borderId="0" xfId="0" applyNumberFormat="1" applyFont="1" applyFill="1" applyBorder="1" applyAlignment="1">
      <x:alignment wrapText="1"/>
    </x:xf>
    <x:xf numFmtId="0" fontId="0" fillId="7" borderId="1" xfId="0" applyNumberFormat="1" applyFont="1" applyFill="1" applyBorder="1" applyAlignment="1">
      <x:alignment wrapText="1"/>
    </x:xf>
    <x:xf numFmtId="0" fontId="0" fillId="7" borderId="2" xfId="0" applyNumberFormat="1" applyFont="1" applyFill="1" applyBorder="1" applyAlignment="1">
      <x:alignment wrapText="1"/>
    </x:xf>
    <x:xf numFmtId="0" fontId="0" fillId="7" borderId="3" xfId="0" applyNumberFormat="1" applyFont="1" applyFill="1" applyBorder="1" applyAlignment="1">
      <x:alignment wrapText="1"/>
    </x:xf>
    <x:xf numFmtId="0" fontId="0" fillId="7" borderId="4" xfId="0" applyNumberFormat="1" applyFont="1" applyFill="1" applyBorder="1" applyAlignment="1">
      <x:alignment wrapText="1"/>
    </x:xf>
    <x:xf numFmtId="0" fontId="0" fillId="7" borderId="5" xfId="0" applyNumberFormat="1" applyFont="1" applyFill="1" applyBorder="1" applyAlignment="1">
      <x:alignment wrapText="1"/>
    </x:xf>
    <x:xf numFmtId="0" fontId="0" fillId="7" borderId="6" xfId="0" applyNumberFormat="1" applyFont="1" applyFill="1" applyBorder="1" applyAlignment="1">
      <x:alignment wrapText="1"/>
    </x:xf>
    <x:xf numFmtId="0" fontId="0" fillId="7" borderId="7" xfId="0" applyNumberFormat="1" applyFont="1" applyFill="1" applyBorder="1" applyAlignment="1">
      <x:alignment wrapText="1"/>
    </x:xf>
    <x:xf numFmtId="0" fontId="0" fillId="7" borderId="8" xfId="0" applyNumberFormat="1" applyFont="1" applyFill="1" applyBorder="1" applyAlignment="1">
      <x:alignment wrapText="1"/>
    </x:xf>
    <x:xf numFmtId="0" fontId="0" fillId="7" borderId="0" xfId="0" applyNumberFormat="1" applyFont="1" applyFill="1" applyBorder="1"/>
    <x:xf numFmtId="0" fontId="2" fillId="2" borderId="0" xfId="0" applyNumberFormat="1" applyFont="1" applyFill="1" applyBorder="1" applyAlignment="1">
      <x:alignment wrapText="1"/>
    </x:xf>
    <x:xf numFmtId="0" fontId="2" fillId="2" borderId="1" xfId="0" applyNumberFormat="1" applyFont="1" applyFill="1" applyBorder="1" applyAlignment="1">
      <x:alignment wrapText="1"/>
    </x:xf>
    <x:xf numFmtId="0" fontId="2" fillId="2" borderId="3" xfId="0" applyNumberFormat="1" applyFont="1" applyFill="1" applyBorder="1" applyAlignment="1">
      <x:alignment wrapText="1"/>
    </x:xf>
    <x:xf numFmtId="0" fontId="2" fillId="2" borderId="6" xfId="0" applyNumberFormat="1" applyFont="1" applyFill="1" applyBorder="1" applyAlignment="1">
      <x:alignment wrapText="1"/>
    </x:xf>
    <x:xf numFmtId="0" fontId="0" fillId="8" borderId="0" xfId="0" applyNumberFormat="1" applyFont="1" applyFill="1" applyBorder="1" applyAlignment="1">
      <x:alignment wrapText="1"/>
    </x:xf>
    <x:xf numFmtId="0" fontId="0" fillId="5" borderId="0" xfId="0" applyNumberFormat="1" applyFont="1" applyFill="1" applyBorder="1" applyAlignment="1">
      <x:alignment wrapText="1"/>
    </x:xf>
    <x:xf numFmtId="0" fontId="0" fillId="6" borderId="0" xfId="0" applyNumberFormat="1" applyFont="1" applyFill="1" applyBorder="1" applyAlignment="1">
      <x:alignment wrapText="1"/>
    </x:xf>
    <x:xf numFmtId="0" fontId="0" fillId="3" borderId="0" xfId="0" applyNumberFormat="1" applyFont="1" applyFill="1" applyBorder="1" applyAlignment="1">
      <x:alignment wrapText="1"/>
    </x:xf>
    <x:xf numFmtId="0" fontId="0" fillId="6" borderId="2" xfId="0" applyNumberFormat="1" applyFont="1" applyFill="1" applyBorder="1" applyAlignment="1">
      <x:alignment wrapText="1"/>
    </x:xf>
    <x:xf numFmtId="0" fontId="0" fillId="5" borderId="2" xfId="0" applyNumberFormat="1" applyFont="1" applyFill="1" applyBorder="1" applyAlignment="1">
      <x:alignment wrapText="1"/>
    </x:xf>
    <x:xf numFmtId="0" fontId="8" fillId="0" borderId="0" xfId="0" applyNumberFormat="1" applyFont="1" applyFill="1" applyBorder="1" applyAlignment="1">
      <x:alignment wrapText="1"/>
    </x:xf>
    <x:xf numFmtId="0" fontId="8" fillId="0" borderId="2"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4ebd114e4b34f45" /><Relationship Type="http://schemas.openxmlformats.org/officeDocument/2006/relationships/theme" Target="/xl/theme/theme1.xml" Id="R77bae2255c144735" /><Relationship Type="http://schemas.openxmlformats.org/officeDocument/2006/relationships/sharedStrings" Target="/xl/sharedStrings.xml" Id="R36b1f53ff2bc4751" /><Relationship Type="http://schemas.openxmlformats.org/officeDocument/2006/relationships/worksheet" Target="/xl/worksheets/sheet1.xml" Id="Rc3d69b8a50864e9c" /><Relationship Type="http://schemas.openxmlformats.org/officeDocument/2006/relationships/worksheet" Target="/xl/worksheets/sheet2.xml" Id="R5bde98e997324641" /><Relationship Type="http://schemas.openxmlformats.org/officeDocument/2006/relationships/worksheet" Target="/xl/worksheets/sheet3.xml" Id="Rf2b1807c34df4051" /><Relationship Type="http://schemas.openxmlformats.org/officeDocument/2006/relationships/worksheet" Target="/xl/worksheets/sheet4.xml" Id="Rc22df0ee410f4e8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4.4399995803833" hidden="0" customWidth="1"/>
    <x:col min="2" max="2" width="18.889999389648438" hidden="0" customWidth="1"/>
    <x:col min="3" max="3" width="13.329999923706055" hidden="0" customWidth="1"/>
    <x:col min="4" max="4" width="27.780000686645508" hidden="0" customWidth="1"/>
    <x:col min="5" max="5" width="12.220000267028809" hidden="0" customWidth="1"/>
    <x:col min="6" max="6" width="24.440000534057617" hidden="0" customWidth="1"/>
    <x:col min="7" max="7" width="12.220000267028809" hidden="0" customWidth="1"/>
    <x:col min="8" max="8" width="27.780000686645508" hidden="0" customWidth="1"/>
    <x:col min="9" max="9" width="14.4399995803833" hidden="0" customWidth="1"/>
    <x:col min="10" max="10" width="14.4399995803833" hidden="0" customWidth="1"/>
    <x:col min="11" max="11" width="14.4399995803833" hidden="0" customWidth="1"/>
    <x:col min="12" max="12" width="14.4399995803833" hidden="0" customWidth="1"/>
    <x:col min="13" max="13" width="14.4399995803833" hidden="0" customWidth="1"/>
  </x:cols>
  <x:sheetData>
    <x:row r="1" ht="25.5" customHeight="1">
      <x:c r="A1" s="4" t="str">
        <x:v>Visit Module Test Case Workbook</x:v>
      </x:c>
      <x:c r="B1" s="4"/>
      <x:c r="C1" s="4"/>
      <x:c r="D1" s="4"/>
      <x:c r="E1" s="4"/>
      <x:c r="F1" s="4"/>
      <x:c r="G1" s="4"/>
      <x:c r="H1" s="4"/>
      <x:c r="I1" s="4"/>
      <x:c r="J1" s="4"/>
      <x:c r="K1" s="4"/>
      <x:c r="L1" s="4"/>
      <x:c r="M1" s="4"/>
    </x:row>
    <x:row r="2" ht="25.5" customHeight="1">
      <x:c r="A2" s="4"/>
      <x:c r="B2" s="4"/>
      <x:c r="C2" s="4"/>
      <x:c r="D2" s="4"/>
      <x:c r="E2" s="4"/>
      <x:c r="F2" s="4"/>
      <x:c r="G2" s="4"/>
      <x:c r="H2" s="4"/>
      <x:c r="I2" s="4"/>
      <x:c r="J2" s="4"/>
      <x:c r="K2" s="4"/>
      <x:c r="L2" s="4"/>
      <x:c r="M2" s="4"/>
    </x:row>
    <x:row r="4" ht="31.5" customHeight="1">
      <x:c r="A4" s="8" t="str">
        <x:v>Reference Ticket</x:v>
      </x:c>
      <x:c r="B4" s="8" t="str">
        <x:v>IU30-724</x:v>
      </x:c>
      <x:c r="C4" s="8" t="str">
        <x:v>Jira URL</x:v>
      </x:c>
      <x:c r="D4" s="8" t="str">
        <x:v>https://tanserv.atlassian.net/browse/IU30-724</x:v>
      </x:c>
      <x:c r="E4" s="8" t="str">
        <x:v>Build Date</x:v>
      </x:c>
      <x:c r="F4" s="8" t="str">
        <x:v>2026-05-26</x:v>
      </x:c>
      <x:c r="G4" s="8" t="str">
        <x:v>Workbook Intent</x:v>
      </x:c>
      <x:c r="H4" s="8" t="str">
        <x:v>Execution-ready test pack derived from ticket scope and detailed requirements.</x:v>
      </x:c>
    </x:row>
    <x:row r="5" ht="31.5" customHeight="1">
      <x:c r="A5" s="9" t="str">
        <x:v>Primary Scope</x:v>
      </x:c>
      <x:c r="B5" s="9" t="str">
        <x:v>Visit planner enhancements, calling flow, deviation handling, attendance logic, manager review and suggestions.</x:v>
      </x:c>
      <x:c r="C5" s="9" t="str">
        <x:v>Source Note</x:v>
      </x:c>
      <x:c r="D5" s="9" t="str">
        <x:v>Detailed requirements were extracted from the authenticated Jira ticket text.</x:v>
      </x:c>
      <x:c r="E5" s="9" t="str">
        <x:v>Prepared For</x:v>
      </x:c>
      <x:c r="F5" s="9" t="str">
        <x:v>Visit module QA / UAT coverage</x:v>
      </x:c>
      <x:c r="G5" s="9" t="str">
        <x:v>Baseline Status</x:v>
      </x:c>
      <x:c r="H5" s="9" t="str">
        <x:v>Draft set - ready for review</x:v>
      </x:c>
    </x:row>
    <x:row r="6" ht="31.5" customHeight="1">
      <x:c r="A6" s="9" t="str">
        <x:v>Out of Scope</x:v>
      </x:c>
      <x:c r="B6" s="9" t="str">
        <x:v>API integration, production data migration, and non-visit modules unless explicitly touched by planner rules.</x:v>
      </x:c>
      <x:c r="C6" s="9" t="str">
        <x:v>Roles Covered</x:v>
      </x:c>
      <x:c r="D6" s="9" t="str">
        <x:v>Agent, Agent-cum-Manager, Manager, Supervisor</x:v>
      </x:c>
      <x:c r="E6" s="9" t="str">
        <x:v>Recommended Use</x:v>
      </x:c>
      <x:c r="F6" s="9" t="str">
        <x:v>Use as master testcase sheet and clone per sprint or release.</x:v>
      </x:c>
      <x:c r="G6" s="9" t="str">
        <x:v>Environment</x:v>
      </x:c>
      <x:c r="H6" s="9" t="str">
        <x:v>Design prototype / localStorage-backed module</x:v>
      </x:c>
    </x:row>
    <x:row r="7" ht="31.5" customHeight="1">
      <x:c r="A7" s="9" t="str">
        <x:v>Assumption</x:v>
      </x:c>
      <x:c r="B7" s="9" t="str">
        <x:v>The workbook tracks expected platform behavior; product owners should confirm any ambiguous save-vs-submit cut-off wording.</x:v>
      </x:c>
      <x:c r="C7" s="9" t="str">
        <x:v>Ticket Type</x:v>
      </x:c>
      <x:c r="D7" s="9" t="str">
        <x:v>Enhancement / workflow change</x:v>
      </x:c>
      <x:c r="E7" s="9" t="str">
        <x:v>Minimum Count</x:v>
      </x:c>
      <x:c r="F7" s="9" t="str">
        <x:v>Ticket examples reference minimum count = 5 for conditional field checks.</x:v>
      </x:c>
      <x:c r="G7" s="9" t="str">
        <x:v>Reference Attachment</x:v>
      </x:c>
      <x:c r="H7" s="9" t="str">
        <x:v>VisitPlan- Changed Plan combinations.xlsx</x:v>
      </x:c>
    </x:row>
    <x:row r="8" ht="31.5" customHeight="1"/>
    <x:row r="9" ht="31.5" customHeight="1">
      <x:c r="A9" s="12" t="str">
        <x:v>KPI Summary</x:v>
      </x:c>
      <x:c r="B9" s="12" t="str">
        <x:v>Total Cases</x:v>
      </x:c>
      <x:c r="C9" s="12" t="str"/>
      <x:c r="D9" s="12" t="str">
        <x:v>High Priority</x:v>
      </x:c>
      <x:c r="E9" s="12" t="str"/>
      <x:c r="F9" s="12" t="str">
        <x:v>Regression Cases</x:v>
      </x:c>
      <x:c r="G9" s="12" t="str"/>
      <x:c r="H9" s="12" t="str">
        <x:v>Not Run</x:v>
      </x:c>
      <x:c r="I9" s="12" t="str"/>
      <x:c r="J9" s="12" t="str">
        <x:v>Managers/Supervisors Covered</x:v>
      </x:c>
      <x:c r="K9" s="12" t="str"/>
      <x:c r="L9" s="12" t="str">
        <x:v>Negative / Guardrail Cases</x:v>
      </x:c>
      <x:c r="M9" s="12" t="str"/>
    </x:row>
    <x:row r="10" ht="31.5" customHeight="1">
      <x:c r="A10" s="19" t="n">
        <x:f>COUNTA('Test Cases'!A:A)-1</x:f>
        <x:v>30</x:v>
      </x:c>
      <x:c r="B10" s="22"/>
      <x:c r="C10" s="19" t="n">
        <x:f>COUNTIF('Test Cases'!I:I,"High")</x:f>
        <x:v>19</x:v>
      </x:c>
      <x:c r="D10" s="22"/>
      <x:c r="E10" s="19" t="n">
        <x:f>COUNTIF('Test Cases'!J:J,"Regression")</x:f>
        <x:v>12</x:v>
      </x:c>
      <x:c r="F10" s="22"/>
      <x:c r="G10" s="19" t="n">
        <x:f>COUNTIF('Test Cases'!K:K,"Not Run")</x:f>
        <x:v>30</x:v>
      </x:c>
      <x:c r="H10" s="22"/>
      <x:c r="I10" s="19" t="n">
        <x:f>COUNTIF('Test Cases'!C:C,"Manager")+COUNTIF('Test Cases'!C:C,"Supervisor")</x:f>
        <x:v>10</x:v>
      </x:c>
      <x:c r="J10" s="22"/>
      <x:c r="K10" s="19" t="n">
        <x:f>COUNTIF('Test Cases'!J:J,"Negative")</x:f>
        <x:v>3</x:v>
      </x:c>
      <x:c r="L10" s="22"/>
    </x:row>
    <x:row r="11" ht="31.5" customHeight="1">
      <x:c r="A11" s="20"/>
      <x:c r="B11" s="23"/>
      <x:c r="C11" s="20"/>
      <x:c r="D11" s="23"/>
      <x:c r="E11" s="20"/>
      <x:c r="F11" s="23"/>
      <x:c r="G11" s="20"/>
      <x:c r="H11" s="23"/>
      <x:c r="I11" s="20"/>
      <x:c r="J11" s="23"/>
      <x:c r="K11" s="20"/>
      <x:c r="L11" s="23"/>
    </x:row>
    <x:row r="12" ht="31.5" customHeight="1">
      <x:c r="A12" s="21"/>
      <x:c r="B12" s="24"/>
      <x:c r="C12" s="21"/>
      <x:c r="D12" s="24"/>
      <x:c r="E12" s="21"/>
      <x:c r="F12" s="24"/>
      <x:c r="G12" s="21"/>
      <x:c r="H12" s="24"/>
      <x:c r="I12" s="21"/>
      <x:c r="J12" s="24"/>
      <x:c r="K12" s="21"/>
      <x:c r="L12" s="24"/>
    </x:row>
    <x:row r="13" ht="31.5" customHeight="1">
      <x:c r="A13" s="25" t="str">
        <x:v>Derived live from Test Cases sheet</x:v>
      </x:c>
      <x:c r="B13" s="25" t="str"/>
      <x:c r="C13" s="25" t="str">
        <x:v>High-impact coverage</x:v>
      </x:c>
      <x:c r="D13" s="25" t="str"/>
      <x:c r="E13" s="25" t="str">
        <x:v>Regression depth</x:v>
      </x:c>
      <x:c r="F13" s="25" t="str"/>
      <x:c r="G13" s="25" t="str">
        <x:v>Execution default</x:v>
      </x:c>
      <x:c r="H13" s="25" t="str"/>
      <x:c r="I13" s="25" t="str">
        <x:v>Leadership coverage</x:v>
      </x:c>
      <x:c r="J13" s="25" t="str"/>
      <x:c r="K13" s="25" t="str">
        <x:v>Guardrails</x:v>
      </x:c>
      <x:c r="L13" s="25" t="str"/>
    </x:row>
    <x:row r="14" ht="31.5" customHeight="1"/>
    <x:row r="15" ht="21" customHeight="1">
      <x:c r="A15" s="7" t="str">
        <x:v>Priority Split</x:v>
      </x:c>
      <x:c r="B15" s="7" t="str"/>
      <x:c r="C15" s="7" t="str"/>
      <x:c r="D15" s="7" t="str">
        <x:v>Test Type Split</x:v>
      </x:c>
      <x:c r="E15" s="7" t="str"/>
      <x:c r="F15" s="7" t="str"/>
      <x:c r="G15" s="39" t="str">
        <x:v>Execution Notes</x:v>
      </x:c>
      <x:c r="H15" s="39" t="str"/>
      <x:c r="I15" s="39" t="str"/>
      <x:c r="J15" s="39" t="str"/>
      <x:c r="K15" s="39" t="str"/>
      <x:c r="L15" s="39" t="str"/>
      <x:c r="M15" s="39" t="str"/>
    </x:row>
    <x:row r="16" ht="21" customHeight="1">
      <x:c r="A16" s="34" t="str">
        <x:v>High</x:v>
      </x:c>
      <x:c r="B16" s="31" t="n">
        <x:f>COUNTIF('Test Cases'!I:I,"High")</x:f>
        <x:v>19</x:v>
      </x:c>
      <x:c r="D16" s="34" t="str">
        <x:v>Regression</x:v>
      </x:c>
      <x:c r="E16" s="31" t="n">
        <x:f>COUNTIF('Test Cases'!J:J,"Regression")</x:f>
        <x:v>12</x:v>
      </x:c>
      <x:c r="G16" s="43" t="str">
        <x:v>1. Review ambiguous save-vs-submit wording in IU30-724 before execution.
2. Use the Requirement Ref column to group runs by business rule.
3. Clone the workbook per release if evidence tracking is needed.
4. Keep screenshots or console notes in the Remarks column if a design prototype behaves oddly.</x:v>
      </x:c>
      <x:c r="H16" s="41"/>
      <x:c r="I16" s="41"/>
      <x:c r="J16" s="41"/>
      <x:c r="K16" s="41"/>
      <x:c r="L16" s="41"/>
      <x:c r="M16" s="46"/>
    </x:row>
    <x:row r="17" ht="21" customHeight="1">
      <x:c r="A17" s="35" t="str">
        <x:v>Medium</x:v>
      </x:c>
      <x:c r="B17" s="32" t="n">
        <x:f>COUNTIF('Test Cases'!I:I,"Medium")</x:f>
        <x:v>11</x:v>
      </x:c>
      <x:c r="D17" s="35" t="str">
        <x:v>Functional</x:v>
      </x:c>
      <x:c r="E17" s="32" t="n">
        <x:f>COUNTIF('Test Cases'!J:J,"Functional")</x:f>
        <x:v>8</x:v>
      </x:c>
      <x:c r="G17" s="44"/>
      <x:c r="H17" s="40"/>
      <x:c r="I17" s="40"/>
      <x:c r="J17" s="40"/>
      <x:c r="K17" s="40"/>
      <x:c r="L17" s="40"/>
      <x:c r="M17" s="47"/>
    </x:row>
    <x:row r="18" ht="21" customHeight="1">
      <x:c r="A18" s="35" t="str">
        <x:v>Low</x:v>
      </x:c>
      <x:c r="B18" s="32" t="n">
        <x:f>COUNTIF('Test Cases'!I:I,"Low")</x:f>
        <x:v>0</x:v>
      </x:c>
      <x:c r="D18" s="35" t="str">
        <x:v>Negative</x:v>
      </x:c>
      <x:c r="E18" s="32" t="n">
        <x:f>COUNTIF('Test Cases'!J:J,"Negative")</x:f>
        <x:v>3</x:v>
      </x:c>
      <x:c r="G18" s="44"/>
      <x:c r="H18" s="40"/>
      <x:c r="I18" s="40"/>
      <x:c r="J18" s="40"/>
      <x:c r="K18" s="40"/>
      <x:c r="L18" s="40"/>
      <x:c r="M18" s="47"/>
    </x:row>
    <x:row r="19" ht="21" customHeight="1">
      <x:c r="A19" s="36" t="str">
        <x:v>Total</x:v>
      </x:c>
      <x:c r="B19" s="33" t="n">
        <x:f>SUM(B16:B18)</x:f>
        <x:v>30</x:v>
      </x:c>
      <x:c r="D19" s="35" t="str">
        <x:v>UI/Conditional</x:v>
      </x:c>
      <x:c r="E19" s="32" t="n">
        <x:f>COUNTIF('Test Cases'!J:J,"UI/Conditional")</x:f>
        <x:v>5</x:v>
      </x:c>
      <x:c r="G19" s="44"/>
      <x:c r="H19" s="40"/>
      <x:c r="I19" s="40"/>
      <x:c r="J19" s="40"/>
      <x:c r="K19" s="40"/>
      <x:c r="L19" s="40"/>
      <x:c r="M19" s="47"/>
    </x:row>
    <x:row r="20" ht="21" customHeight="1">
      <x:c r="D20" s="35" t="str">
        <x:v>Role-based</x:v>
      </x:c>
      <x:c r="E20" s="32" t="n">
        <x:f>COUNTIF('Test Cases'!J:J,"Role-based")</x:f>
        <x:v>2</x:v>
      </x:c>
      <x:c r="G20" s="44"/>
      <x:c r="H20" s="40"/>
      <x:c r="I20" s="40"/>
      <x:c r="J20" s="40"/>
      <x:c r="K20" s="40"/>
      <x:c r="L20" s="40"/>
      <x:c r="M20" s="47"/>
    </x:row>
    <x:row r="21" ht="21" customHeight="1">
      <x:c r="D21" s="36" t="str">
        <x:v>Total</x:v>
      </x:c>
      <x:c r="E21" s="33" t="n">
        <x:f>SUM(E16:E20)</x:f>
        <x:v>30</x:v>
      </x:c>
      <x:c r="G21" s="44"/>
      <x:c r="H21" s="40"/>
      <x:c r="I21" s="40"/>
      <x:c r="J21" s="40"/>
      <x:c r="K21" s="40"/>
      <x:c r="L21" s="40"/>
      <x:c r="M21" s="47"/>
    </x:row>
    <x:row r="22" ht="21" customHeight="1">
      <x:c r="G22" s="45"/>
      <x:c r="H22" s="42"/>
      <x:c r="I22" s="42"/>
      <x:c r="J22" s="42"/>
      <x:c r="K22" s="42"/>
      <x:c r="L22" s="42"/>
      <x:c r="M22" s="48"/>
    </x:row>
    <x:row r="23" ht="21" customHeight="1"/>
    <x:row r="24" ht="21" customHeight="1">
      <x:c r="A24" s="12" t="str">
        <x:v>Coverage Areas Included</x:v>
      </x:c>
      <x:c r="B24" s="12" t="str"/>
      <x:c r="C24" s="12" t="str"/>
      <x:c r="D24" s="12" t="str"/>
      <x:c r="E24" s="12" t="str"/>
      <x:c r="F24" s="12" t="str"/>
      <x:c r="G24" s="12" t="str"/>
      <x:c r="H24" s="12" t="str"/>
      <x:c r="I24" s="12" t="str"/>
      <x:c r="J24" s="12" t="str"/>
      <x:c r="K24" s="12" t="str"/>
      <x:c r="L24" s="12" t="str"/>
      <x:c r="M24" s="12" t="str"/>
    </x:row>
    <x:row r="25" ht="39" customHeight="1">
      <x:c r="A25" s="43" t="str">
        <x:v>Planning save/submit lifecycle</x:v>
      </x:c>
      <x:c r="B25" s="41" t="str">
        <x:v>Deviation and auto-approval rules</x:v>
      </x:c>
      <x:c r="C25" s="46" t="str">
        <x:v>Attendance marking outcomes</x:v>
      </x:c>
      <x:c r="D25" s="9"/>
      <x:c r="E25" s="9"/>
      <x:c r="F25" s="9"/>
      <x:c r="G25" s="9"/>
      <x:c r="H25" s="9"/>
      <x:c r="I25" s="9"/>
    </x:row>
    <x:row r="26" ht="39" customHeight="1">
      <x:c r="A26" s="44" t="str">
        <x:v>Calling workflow validation</x:v>
      </x:c>
      <x:c r="B26" s="40" t="str">
        <x:v>Manager suggestions and tag along</x:v>
      </x:c>
      <x:c r="C26" s="47" t="str">
        <x:v>Calendar / Office Work visibility</x:v>
      </x:c>
      <x:c r="D26" s="9"/>
      <x:c r="E26" s="9"/>
      <x:c r="F26" s="9"/>
      <x:c r="G26" s="9"/>
      <x:c r="H26" s="9"/>
      <x:c r="I26" s="9"/>
    </x:row>
    <x:row r="27" ht="39" customHeight="1">
      <x:c r="A27" s="45" t="str">
        <x:v>Conditional field rendering</x:v>
      </x:c>
      <x:c r="B27" s="42" t="str">
        <x:v>Role and hierarchy controls</x:v>
      </x:c>
      <x:c r="C27" s="48" t="str">
        <x:v>Remarks and activity trail persistence</x:v>
      </x:c>
      <x:c r="D27" s="9"/>
      <x:c r="E27" s="9"/>
      <x:c r="F27" s="9"/>
      <x:c r="G27" s="9"/>
      <x:c r="H27" s="9"/>
      <x:c r="I27" s="9"/>
    </x:row>
  </x:sheetData>
  <x:mergeCells>
    <x:mergeCell ref="A1:M2"/>
    <x:mergeCell ref="A10:B12"/>
    <x:mergeCell ref="C10:D12"/>
    <x:mergeCell ref="E10:F12"/>
    <x:mergeCell ref="G10:H12"/>
    <x:mergeCell ref="I10:J12"/>
    <x:mergeCell ref="K10:L12"/>
    <x:mergeCell ref="G16:M22"/>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15.5600004196167" hidden="0" customWidth="1"/>
    <x:col min="3" max="3" width="13.329999923706055" hidden="0" customWidth="1"/>
    <x:col min="4" max="4" width="26.670000076293945" hidden="0" customWidth="1"/>
    <x:col min="5" max="5" width="25.559999465942383" hidden="0" customWidth="1"/>
    <x:col min="6" max="6" width="26.670000076293945" hidden="0" customWidth="1"/>
    <x:col min="7" max="7" width="27.780000686645508" hidden="0" customWidth="1"/>
    <x:col min="8" max="8" width="28.889999389648438" hidden="0" customWidth="1"/>
    <x:col min="9" max="9" width="8.890000343322754" hidden="0" customWidth="1"/>
    <x:col min="10" max="10" width="11.109999656677246" hidden="0" customWidth="1"/>
    <x:col min="11" max="11" width="10.5600004196167" hidden="0" customWidth="1"/>
    <x:col min="12" max="12" width="10" hidden="0" customWidth="1"/>
    <x:col min="13" max="13" width="22.219999313354492" hidden="0" customWidth="1"/>
  </x:cols>
  <x:sheetData>
    <x:row r="1">
      <x:c r="A1" s="52" t="str">
        <x:v>Test Case ID</x:v>
      </x:c>
      <x:c r="B1" s="51" t="str">
        <x:v>Module Area</x:v>
      </x:c>
      <x:c r="C1" s="51" t="str">
        <x:v>Role</x:v>
      </x:c>
      <x:c r="D1" s="51" t="str">
        <x:v>Requirement Ref</x:v>
      </x:c>
      <x:c r="E1" s="51" t="str">
        <x:v>Scenario</x:v>
      </x:c>
      <x:c r="F1" s="51" t="str">
        <x:v>Preconditions</x:v>
      </x:c>
      <x:c r="G1" s="51" t="str">
        <x:v>Test Steps</x:v>
      </x:c>
      <x:c r="H1" s="51" t="str">
        <x:v>Expected Result</x:v>
      </x:c>
      <x:c r="I1" s="51" t="str">
        <x:v>Priority</x:v>
      </x:c>
      <x:c r="J1" s="51" t="str">
        <x:v>Test Type</x:v>
      </x:c>
      <x:c r="K1" s="51" t="str">
        <x:v>Execution Status</x:v>
      </x:c>
      <x:c r="L1" s="51" t="str">
        <x:v>Reference</x:v>
      </x:c>
      <x:c r="M1" s="53" t="str">
        <x:v>Remarks</x:v>
      </x:c>
    </x:row>
    <x:row r="2" ht="40.5" customHeight="1">
      <x:c r="A2" s="29" t="str">
        <x:v>VM-001</x:v>
      </x:c>
      <x:c r="B2" s="9" t="str">
        <x:v>Plan Submission</x:v>
      </x:c>
      <x:c r="C2" s="9" t="str">
        <x:v>Agent</x:v>
      </x:c>
      <x:c r="D2" s="9" t="str">
        <x:v>Save &amp; Deviation Logic / Save Button Removal Logic</x:v>
      </x:c>
      <x:c r="E2" s="9" t="str">
        <x:v>Save button is hidden after the first successful post-cut-off save for next-day planning.</x:v>
      </x:c>
      <x:c r="F2" s="9" t="str">
        <x:v>Agent is on next-day planning modal after cut-off time. No prior successful save for that date.</x:v>
      </x:c>
      <x:c r="G2" s="9" t="str">
        <x:v>1. Select at least the minimum valid plan data.
2. Click Save.
3. Re-open the plan for the same date.</x:v>
      </x:c>
      <x:c r="H2" s="9" t="str">
        <x:v>Save succeeds once. Save button is hidden on reopen for that date after cut-off, and Submit remains available.</x:v>
      </x:c>
      <x:c r="I2" s="54" t="str">
        <x:v>High</x:v>
      </x:c>
      <x:c r="J2" s="55" t="str">
        <x:v>Regression</x:v>
      </x:c>
      <x:c r="K2" s="40" t="str">
        <x:v>Not Run</x:v>
      </x:c>
      <x:c r="L2" s="60" t="str">
        <x:v>IU30-724</x:v>
      </x:c>
      <x:c r="M2" s="32" t="str"/>
    </x:row>
    <x:row r="3" ht="40.5" customHeight="1">
      <x:c r="A3" s="29" t="str">
        <x:v>VM-002</x:v>
      </x:c>
      <x:c r="B3" s="9" t="str">
        <x:v>Plan Submission</x:v>
      </x:c>
      <x:c r="C3" s="9" t="str">
        <x:v>Agent-cum-Manager</x:v>
      </x:c>
      <x:c r="D3" s="9" t="str">
        <x:v>Save &amp; Deviation Logic / Save Button Removal Logic</x:v>
      </x:c>
      <x:c r="E3" s="9" t="str">
        <x:v>Agent-cum-Manager follows the same post-cut-off save-button suppression rule.</x:v>
      </x:c>
      <x:c r="F3" s="9" t="str">
        <x:v>User role is agent-cum-manager. Planning modal opened after cut-off.</x:v>
      </x:c>
      <x:c r="G3" s="9" t="str">
        <x:v>1. Create a valid next-day plan.
2. Click Save.
3. Reopen the same date plan.</x:v>
      </x:c>
      <x:c r="H3" s="9" t="str">
        <x:v>Save button is no longer available for that date after the successful post-cut-off save. Submit remains available.</x:v>
      </x:c>
      <x:c r="I3" s="54" t="str">
        <x:v>High</x:v>
      </x:c>
      <x:c r="J3" s="55" t="str">
        <x:v>Regression</x:v>
      </x:c>
      <x:c r="K3" s="40" t="str">
        <x:v>Not Run</x:v>
      </x:c>
      <x:c r="L3" s="60" t="str">
        <x:v>IU30-724</x:v>
      </x:c>
      <x:c r="M3" s="32" t="str"/>
    </x:row>
    <x:row r="4" ht="40.5" customHeight="1">
      <x:c r="A4" s="29" t="str">
        <x:v>VM-003</x:v>
      </x:c>
      <x:c r="B4" s="9" t="str">
        <x:v>Plan Editing</x:v>
      </x:c>
      <x:c r="C4" s="9" t="str">
        <x:v>Agent</x:v>
      </x:c>
      <x:c r="D4" s="9" t="str">
        <x:v>Save &amp; Deviation Logic / Modification Before Cut-Off Time</x:v>
      </x:c>
      <x:c r="E4" s="9" t="str">
        <x:v>Agent modifies customer selection before cut-off without triggering deviation.</x:v>
      </x:c>
      <x:c r="F4" s="9" t="str">
        <x:v>Plan exists for the next day. Current time is before cut-off.</x:v>
      </x:c>
      <x:c r="G4" s="9" t="str">
        <x:v>1. Open existing draft plan.
2. Add one customer and remove one customer.
3. Save the plan.</x:v>
      </x:c>
      <x:c r="H4" s="9" t="str">
        <x:v>Plan updates successfully. No deviation case is created and no approval workflow starts.</x:v>
      </x:c>
      <x:c r="I4" s="54" t="str">
        <x:v>High</x:v>
      </x:c>
      <x:c r="J4" s="9" t="str">
        <x:v>Functional</x:v>
      </x:c>
      <x:c r="K4" s="40" t="str">
        <x:v>Not Run</x:v>
      </x:c>
      <x:c r="L4" s="60" t="str">
        <x:v>IU30-724</x:v>
      </x:c>
      <x:c r="M4" s="32" t="str"/>
    </x:row>
    <x:row r="5" ht="40.5" customHeight="1">
      <x:c r="A5" s="29" t="str">
        <x:v>VM-004</x:v>
      </x:c>
      <x:c r="B5" s="9" t="str">
        <x:v>Plan Editing</x:v>
      </x:c>
      <x:c r="C5" s="9" t="str">
        <x:v>Agent</x:v>
      </x:c>
      <x:c r="D5" s="9" t="str">
        <x:v>Save &amp; Deviation Logic / Modification Before Cut-Off Time</x:v>
      </x:c>
      <x:c r="E5" s="9" t="str">
        <x:v>Agent changes activity type before cut-off and no deviation is triggered.</x:v>
      </x:c>
      <x:c r="F5" s="9" t="str">
        <x:v>Draft plan exists before cut-off with visit activity selected.</x:v>
      </x:c>
      <x:c r="G5" s="9" t="str">
        <x:v>1. Open the plan.
2. Change activity type from Visit to Calling or Office Work.
3. Save and submit.</x:v>
      </x:c>
      <x:c r="H5" s="9" t="str">
        <x:v>Plan reflects the updated activity type with no deviation record caused only by pre-cut-off editing.</x:v>
      </x:c>
      <x:c r="I5" s="56" t="str">
        <x:v>Medium</x:v>
      </x:c>
      <x:c r="J5" s="9" t="str">
        <x:v>Functional</x:v>
      </x:c>
      <x:c r="K5" s="40" t="str">
        <x:v>Not Run</x:v>
      </x:c>
      <x:c r="L5" s="60" t="str">
        <x:v>IU30-724</x:v>
      </x:c>
      <x:c r="M5" s="32" t="str"/>
    </x:row>
    <x:row r="6" ht="40.5" customHeight="1">
      <x:c r="A6" s="29" t="str">
        <x:v>VM-005</x:v>
      </x:c>
      <x:c r="B6" s="9" t="str">
        <x:v>Deviation Workflow</x:v>
      </x:c>
      <x:c r="C6" s="9" t="str">
        <x:v>Agent</x:v>
      </x:c>
      <x:c r="D6" s="9" t="str">
        <x:v>Save &amp; Deviation Logic / Minimum Planned Customers</x:v>
      </x:c>
      <x:c r="E6" s="9" t="str">
        <x:v>Count drops below designated minimum after cut-off.</x:v>
      </x:c>
      <x:c r="F6" s="9" t="str">
        <x:v>Plan initially contains at least the designated customer count before cut-off. Current time is after cut-off.</x:v>
      </x:c>
      <x:c r="G6" s="9" t="str">
        <x:v>1. Open the existing plan after cut-off.
2. Remove customers until count drops below configured minimum.
3. Save or submit the plan.</x:v>
      </x:c>
      <x:c r="H6" s="9" t="str">
        <x:v>Deviation is created immediately. Manager approval is required and the activity trail captures the change history.</x:v>
      </x:c>
      <x:c r="I6" s="54" t="str">
        <x:v>High</x:v>
      </x:c>
      <x:c r="J6" s="55" t="str">
        <x:v>Regression</x:v>
      </x:c>
      <x:c r="K6" s="40" t="str">
        <x:v>Not Run</x:v>
      </x:c>
      <x:c r="L6" s="60" t="str">
        <x:v>IU30-724</x:v>
      </x:c>
      <x:c r="M6" s="32" t="str"/>
    </x:row>
    <x:row r="7" ht="40.5" customHeight="1">
      <x:c r="A7" s="29" t="str">
        <x:v>VM-006</x:v>
      </x:c>
      <x:c r="B7" s="9" t="str">
        <x:v>Deviation Workflow</x:v>
      </x:c>
      <x:c r="C7" s="9" t="str">
        <x:v>Agent</x:v>
      </x:c>
      <x:c r="D7" s="9" t="str">
        <x:v>Save &amp; Deviation Logic / Minimum Planned Customers</x:v>
      </x:c>
      <x:c r="E7" s="9" t="str">
        <x:v>Plan that started below minimum remains a deviation even if user later raises count to the minimum after cut-off.</x:v>
      </x:c>
      <x:c r="F7" s="9" t="str">
        <x:v>Plan was earlier saved with fewer than designated customers and already qualifies as deviation.</x:v>
      </x:c>
      <x:c r="G7" s="9" t="str">
        <x:v>1. Reopen the same plan after cut-off.
2. Add customers until count reaches or exceeds the minimum.
3. Save or submit.</x:v>
      </x:c>
      <x:c r="H7" s="9" t="str">
        <x:v>The existing deviation status is retained. The case does not auto-clear simply because the count was corrected later.</x:v>
      </x:c>
      <x:c r="I7" s="54" t="str">
        <x:v>High</x:v>
      </x:c>
      <x:c r="J7" s="55" t="str">
        <x:v>Regression</x:v>
      </x:c>
      <x:c r="K7" s="40" t="str">
        <x:v>Not Run</x:v>
      </x:c>
      <x:c r="L7" s="60" t="str">
        <x:v>IU30-724</x:v>
      </x:c>
      <x:c r="M7" s="32" t="str"/>
    </x:row>
    <x:row r="8" ht="40.5" customHeight="1">
      <x:c r="A8" s="29" t="str">
        <x:v>VM-007</x:v>
      </x:c>
      <x:c r="B8" s="9" t="str">
        <x:v>Deviation Workflow</x:v>
      </x:c>
      <x:c r="C8" s="9" t="str">
        <x:v>Agent</x:v>
      </x:c>
      <x:c r="D8" s="9" t="str">
        <x:v>Save &amp; Deviation Logic / Minimum Planned Customers / Both</x:v>
      </x:c>
      <x:c r="E8" s="9" t="str">
        <x:v>Both plan type below designated count enters deviation workflow.</x:v>
      </x:c>
      <x:c r="F8" s="9" t="str">
        <x:v>Activity type is Both. Current plan count is below configured minimum.</x:v>
      </x:c>
      <x:c r="G8" s="9" t="str">
        <x:v>1. Select Both as activity type.
2. Keep planned customer count below minimum.
3. Save or submit the plan.</x:v>
      </x:c>
      <x:c r="H8" s="9" t="str">
        <x:v>Deviation logic applies to Both in the same way as Visit. Manager approval is required.</x:v>
      </x:c>
      <x:c r="I8" s="54" t="str">
        <x:v>High</x:v>
      </x:c>
      <x:c r="J8" s="9" t="str">
        <x:v>Functional</x:v>
      </x:c>
      <x:c r="K8" s="40" t="str">
        <x:v>Not Run</x:v>
      </x:c>
      <x:c r="L8" s="60" t="str">
        <x:v>IU30-724</x:v>
      </x:c>
      <x:c r="M8" s="32" t="str"/>
    </x:row>
    <x:row r="9" ht="40.5" customHeight="1">
      <x:c r="A9" s="29" t="str">
        <x:v>VM-008</x:v>
      </x:c>
      <x:c r="B9" s="9" t="str">
        <x:v>Deviation Workflow</x:v>
      </x:c>
      <x:c r="C9" s="9" t="str">
        <x:v>Agent</x:v>
      </x:c>
      <x:c r="D9" s="9" t="str">
        <x:v>Save &amp; Deviation Logic / Activity Type Change After Cut-Off</x:v>
      </x:c>
      <x:c r="E9" s="9" t="str">
        <x:v>Activity type changed after cut-off from Visit to Office Work.</x:v>
      </x:c>
      <x:c r="F9" s="9" t="str">
        <x:v>Existing plan submitted or saved after cut-off with Visit activity.</x:v>
      </x:c>
      <x:c r="G9" s="9" t="str">
        <x:v>1. Reopen the plan after cut-off.
2. Change type from Visit to Office Work.
3. Save or submit.</x:v>
      </x:c>
      <x:c r="H9" s="9" t="str">
        <x:v>Deviation is auto-created. Manager approval or rejection becomes mandatory, and the trail logs both old and new activity types.</x:v>
      </x:c>
      <x:c r="I9" s="54" t="str">
        <x:v>High</x:v>
      </x:c>
      <x:c r="J9" s="55" t="str">
        <x:v>Regression</x:v>
      </x:c>
      <x:c r="K9" s="40" t="str">
        <x:v>Not Run</x:v>
      </x:c>
      <x:c r="L9" s="60" t="str">
        <x:v>IU30-724</x:v>
      </x:c>
      <x:c r="M9" s="32" t="str"/>
    </x:row>
    <x:row r="10" ht="40.5" customHeight="1">
      <x:c r="A10" s="29" t="str">
        <x:v>VM-009</x:v>
      </x:c>
      <x:c r="B10" s="9" t="str">
        <x:v>Auto Approval</x:v>
      </x:c>
      <x:c r="C10" s="9" t="str">
        <x:v>Agent</x:v>
      </x:c>
      <x:c r="D10" s="9" t="str">
        <x:v>Auto Approval &amp; Absent Marking / Auto Approval Condition</x:v>
      </x:c>
      <x:c r="E10" s="9" t="str">
        <x:v>Submitted plan exactly meets the configured minimum count.</x:v>
      </x:c>
      <x:c r="F10" s="9" t="str">
        <x:v>Configured minimum customer count is known and the user is within the valid submit flow.</x:v>
      </x:c>
      <x:c r="G10" s="9" t="str">
        <x:v>1. Add exactly the minimum number of customers.
2. Submit the plan.</x:v>
      </x:c>
      <x:c r="H10" s="9" t="str">
        <x:v>Plan is auto-approved once cut-off conditions are met. No deviation is created.</x:v>
      </x:c>
      <x:c r="I10" s="54" t="str">
        <x:v>High</x:v>
      </x:c>
      <x:c r="J10" s="55" t="str">
        <x:v>Regression</x:v>
      </x:c>
      <x:c r="K10" s="40" t="str">
        <x:v>Not Run</x:v>
      </x:c>
      <x:c r="L10" s="60" t="str">
        <x:v>IU30-724</x:v>
      </x:c>
      <x:c r="M10" s="32" t="str"/>
    </x:row>
    <x:row r="11" ht="40.5" customHeight="1">
      <x:c r="A11" s="29" t="str">
        <x:v>VM-010</x:v>
      </x:c>
      <x:c r="B11" s="9" t="str">
        <x:v>Auto Approval</x:v>
      </x:c>
      <x:c r="C11" s="9" t="str">
        <x:v>Agent</x:v>
      </x:c>
      <x:c r="D11" s="9" t="str">
        <x:v>Auto Approval &amp; Absent Marking / Auto Approval Condition</x:v>
      </x:c>
      <x:c r="E11" s="9" t="str">
        <x:v>Submitted plan exceeds the configured minimum count.</x:v>
      </x:c>
      <x:c r="F11" s="9" t="str">
        <x:v>Configured minimum count is available.</x:v>
      </x:c>
      <x:c r="G11" s="9" t="str">
        <x:v>1. Add more than the minimum number of customers.
2. Submit the plan.</x:v>
      </x:c>
      <x:c r="H11" s="9" t="str">
        <x:v>Plan is auto-approved with no deviation and correct submitted state shown in the planner.</x:v>
      </x:c>
      <x:c r="I11" s="54" t="str">
        <x:v>High</x:v>
      </x:c>
      <x:c r="J11" s="9" t="str">
        <x:v>Functional</x:v>
      </x:c>
      <x:c r="K11" s="40" t="str">
        <x:v>Not Run</x:v>
      </x:c>
      <x:c r="L11" s="60" t="str">
        <x:v>IU30-724</x:v>
      </x:c>
      <x:c r="M11" s="32" t="str"/>
    </x:row>
    <x:row r="12" ht="40.5" customHeight="1">
      <x:c r="A12" s="29" t="str">
        <x:v>VM-011</x:v>
      </x:c>
      <x:c r="B12" s="9" t="str">
        <x:v>Deviation Workflow</x:v>
      </x:c>
      <x:c r="C12" s="9" t="str">
        <x:v>Agent</x:v>
      </x:c>
      <x:c r="D12" s="9" t="str">
        <x:v>Auto Approval &amp; Absent Marking / Less Than Designated Count</x:v>
      </x:c>
      <x:c r="E12" s="9" t="str">
        <x:v>Submitted plan contains fewer than the designated customer count.</x:v>
      </x:c>
      <x:c r="F12" s="9" t="str">
        <x:v>Agent has a valid plan with fewer customers than configured minimum.</x:v>
      </x:c>
      <x:c r="G12" s="9" t="str">
        <x:v>1. Submit the plan with customer count below minimum.</x:v>
      </x:c>
      <x:c r="H12" s="9" t="str">
        <x:v>Plan is not auto-approved. Deviation is created and manager approval becomes necessary.</x:v>
      </x:c>
      <x:c r="I12" s="54" t="str">
        <x:v>High</x:v>
      </x:c>
      <x:c r="J12" s="54" t="str">
        <x:v>Negative</x:v>
      </x:c>
      <x:c r="K12" s="40" t="str">
        <x:v>Not Run</x:v>
      </x:c>
      <x:c r="L12" s="60" t="str">
        <x:v>IU30-724</x:v>
      </x:c>
      <x:c r="M12" s="32" t="str"/>
    </x:row>
    <x:row r="13" ht="40.5" customHeight="1">
      <x:c r="A13" s="29" t="str">
        <x:v>VM-012</x:v>
      </x:c>
      <x:c r="B13" s="9" t="str">
        <x:v>Attendance Marking</x:v>
      </x:c>
      <x:c r="C13" s="9" t="str">
        <x:v>Agent</x:v>
      </x:c>
      <x:c r="D13" s="9" t="str">
        <x:v>Auto Approval &amp; Absent Marking / Saved But Not Submitted Plan Logic</x:v>
      </x:c>
      <x:c r="E13" s="9" t="str">
        <x:v>Plan is only saved, not submitted, even though count meets minimum.</x:v>
      </x:c>
      <x:c r="F13" s="9" t="str">
        <x:v>Plan has at least the designated number of customers.</x:v>
      </x:c>
      <x:c r="G13" s="9" t="str">
        <x:v>1. Create a valid plan.
2. Click Save but do not click Submit.
3. Observe planner state and attendance outcome.</x:v>
      </x:c>
      <x:c r="H13" s="9" t="str">
        <x:v>Case moves to deviation handling. Agent remains marked Absent until manager explicitly approves the deviation.</x:v>
      </x:c>
      <x:c r="I13" s="54" t="str">
        <x:v>High</x:v>
      </x:c>
      <x:c r="J13" s="55" t="str">
        <x:v>Regression</x:v>
      </x:c>
      <x:c r="K13" s="40" t="str">
        <x:v>Not Run</x:v>
      </x:c>
      <x:c r="L13" s="60" t="str">
        <x:v>IU30-724</x:v>
      </x:c>
      <x:c r="M13" s="32" t="str"/>
    </x:row>
    <x:row r="14" ht="40.5" customHeight="1">
      <x:c r="A14" s="29" t="str">
        <x:v>VM-013</x:v>
      </x:c>
      <x:c r="B14" s="9" t="str">
        <x:v>Attendance Marking</x:v>
      </x:c>
      <x:c r="C14" s="9" t="str">
        <x:v>Agent</x:v>
      </x:c>
      <x:c r="D14" s="9" t="str">
        <x:v>Auto Approval &amp; Absent Marking / Visit Done on Non-Planned Customers</x:v>
      </x:c>
      <x:c r="E14" s="9" t="str">
        <x:v>Visits are performed on non-planned customers after a compliant plan was submitted.</x:v>
      </x:c>
      <x:c r="F14" s="9" t="str">
        <x:v>Submitted plan contains at least the minimum count and is otherwise compliant.</x:v>
      </x:c>
      <x:c r="G14" s="9" t="str">
        <x:v>1. Complete visit activity against one customer not present in the submitted plan.
2. Review end-of-day status.</x:v>
      </x:c>
      <x:c r="H14" s="9" t="str">
        <x:v>Deviation is generated. Agent remains Absent until manager approval, and the activity trail clearly differentiates planned versus actual customers.</x:v>
      </x:c>
      <x:c r="I14" s="54" t="str">
        <x:v>High</x:v>
      </x:c>
      <x:c r="J14" s="55" t="str">
        <x:v>Regression</x:v>
      </x:c>
      <x:c r="K14" s="40" t="str">
        <x:v>Not Run</x:v>
      </x:c>
      <x:c r="L14" s="60" t="str">
        <x:v>IU30-724</x:v>
      </x:c>
      <x:c r="M14" s="32" t="str"/>
    </x:row>
    <x:row r="15" ht="40.5" customHeight="1">
      <x:c r="A15" s="29" t="str">
        <x:v>VM-014</x:v>
      </x:c>
      <x:c r="B15" s="9" t="str">
        <x:v>Calling Flow</x:v>
      </x:c>
      <x:c r="C15" s="9" t="str">
        <x:v>Agent</x:v>
      </x:c>
      <x:c r="D15" s="9" t="str">
        <x:v>Additional Note / Calling Status Validation</x:v>
      </x:c>
      <x:c r="E15" s="9" t="str">
        <x:v>Calling status update attempted without selecting any customer.</x:v>
      </x:c>
      <x:c r="F15" s="9" t="str">
        <x:v>User is in calling workflow with no customer selected.</x:v>
      </x:c>
      <x:c r="G15" s="9" t="str">
        <x:v>1. Set plan type or activity to Calling.
2. Leave customer selection empty.
3. Attempt Save or Submit.</x:v>
      </x:c>
      <x:c r="H15" s="9" t="str">
        <x:v>Validation blocks the action and informs the user that at least one customer must be selected.</x:v>
      </x:c>
      <x:c r="I15" s="54" t="str">
        <x:v>High</x:v>
      </x:c>
      <x:c r="J15" s="54" t="str">
        <x:v>Negative</x:v>
      </x:c>
      <x:c r="K15" s="40" t="str">
        <x:v>Not Run</x:v>
      </x:c>
      <x:c r="L15" s="60" t="str">
        <x:v>IU30-724</x:v>
      </x:c>
      <x:c r="M15" s="32" t="str"/>
    </x:row>
    <x:row r="16" ht="40.5" customHeight="1">
      <x:c r="A16" s="29" t="str">
        <x:v>VM-015</x:v>
      </x:c>
      <x:c r="B16" s="9" t="str">
        <x:v>Manager Review</x:v>
      </x:c>
      <x:c r="C16" s="9" t="str">
        <x:v>Manager</x:v>
      </x:c>
      <x:c r="D16" s="9" t="str">
        <x:v>Comment / Suggested Customer Filtering</x:v>
      </x:c>
      <x:c r="E16" s="9" t="str">
        <x:v>Suggested customer list excludes customers already present in the current plan adjustment list.</x:v>
      </x:c>
      <x:c r="F16" s="9" t="str">
        <x:v>Manager has opened Review Plan modal for an agent and the current plan already contains one or more customers.</x:v>
      </x:c>
      <x:c r="G16" s="9" t="str">
        <x:v>1. Open the manager review modal.
2. Check the Remove from Current Plan list.
3. Review the Suggest Customer list.</x:v>
      </x:c>
      <x:c r="H16" s="9" t="str">
        <x:v>Any customer already present in the current-plan section is excluded from the suggestion list to avoid duplicates.</x:v>
      </x:c>
      <x:c r="I16" s="54" t="str">
        <x:v>High</x:v>
      </x:c>
      <x:c r="J16" s="55" t="str">
        <x:v>Regression</x:v>
      </x:c>
      <x:c r="K16" s="40" t="str">
        <x:v>Not Run</x:v>
      </x:c>
      <x:c r="L16" s="60" t="str">
        <x:v>IU30-724</x:v>
      </x:c>
      <x:c r="M16" s="32" t="str"/>
    </x:row>
    <x:row r="17" ht="40.5" customHeight="1">
      <x:c r="A17" s="29" t="str">
        <x:v>VM-016</x:v>
      </x:c>
      <x:c r="B17" s="9" t="str">
        <x:v>Manager Review</x:v>
      </x:c>
      <x:c r="C17" s="9" t="str">
        <x:v>Manager</x:v>
      </x:c>
      <x:c r="D17" s="9" t="str">
        <x:v>Comment / Tag Along Activity Trail</x:v>
      </x:c>
      <x:c r="E17" s="9" t="str">
        <x:v>Manager marks tag-along for an already planned customer.</x:v>
      </x:c>
      <x:c r="F17" s="9" t="str">
        <x:v>Manager is reviewing an agent plan that already contains planned customers.</x:v>
      </x:c>
      <x:c r="G17" s="9" t="str">
        <x:v>1. Open review modal for the agent/date.
2. Select Tag Along for one existing planned customer.
3. Submit or save the manager review.</x:v>
      </x:c>
      <x:c r="H17" s="9" t="str">
        <x:v>Activity trail records that tag along was added, and the tagged customer shows the tag-along indicator in relevant views.</x:v>
      </x:c>
      <x:c r="I17" s="54" t="str">
        <x:v>High</x:v>
      </x:c>
      <x:c r="J17" s="9" t="str">
        <x:v>Functional</x:v>
      </x:c>
      <x:c r="K17" s="40" t="str">
        <x:v>Not Run</x:v>
      </x:c>
      <x:c r="L17" s="60" t="str">
        <x:v>IU30-724</x:v>
      </x:c>
      <x:c r="M17" s="32" t="str"/>
    </x:row>
    <x:row r="18" ht="40.5" customHeight="1">
      <x:c r="A18" s="29" t="str">
        <x:v>VM-017</x:v>
      </x:c>
      <x:c r="B18" s="9" t="str">
        <x:v>Manager Review</x:v>
      </x:c>
      <x:c r="C18" s="9" t="str">
        <x:v>Manager</x:v>
      </x:c>
      <x:c r="D18" s="9" t="str">
        <x:v>Comment / Tag Along Activity Trail</x:v>
      </x:c>
      <x:c r="E18" s="9" t="str">
        <x:v>Manager marks tag-along for a manager-suggested customer.</x:v>
      </x:c>
      <x:c r="F18" s="9" t="str">
        <x:v>Manager review modal contains at least one suggested customer.</x:v>
      </x:c>
      <x:c r="G18" s="9" t="str">
        <x:v>1. Add a manager-suggested customer.
2. Mark Tag Along for that suggestion.
3. Save or submit the review.</x:v>
      </x:c>
      <x:c r="H18" s="9" t="str">
        <x:v>Trail shows tag-along against the suggested customer and the visual indicator is preserved after reload.</x:v>
      </x:c>
      <x:c r="I18" s="54" t="str">
        <x:v>High</x:v>
      </x:c>
      <x:c r="J18" s="9" t="str">
        <x:v>Functional</x:v>
      </x:c>
      <x:c r="K18" s="40" t="str">
        <x:v>Not Run</x:v>
      </x:c>
      <x:c r="L18" s="60" t="str">
        <x:v>IU30-724</x:v>
      </x:c>
      <x:c r="M18" s="32" t="str"/>
    </x:row>
    <x:row r="19" ht="40.5" customHeight="1">
      <x:c r="A19" s="29" t="str">
        <x:v>VM-018</x:v>
      </x:c>
      <x:c r="B19" s="9" t="str">
        <x:v>Calendar Visibility</x:v>
      </x:c>
      <x:c r="C19" s="9" t="str">
        <x:v>Manager</x:v>
      </x:c>
      <x:c r="D19" s="9" t="str">
        <x:v>Comment / Office Work Calendar Rendering</x:v>
      </x:c>
      <x:c r="E19" s="9" t="str">
        <x:v>Manager calendar shows Office Work when the agent planned Office Work for that date.</x:v>
      </x:c>
      <x:c r="F19" s="9" t="str">
        <x:v>Agent plan for selected date is set to Office Work.</x:v>
      </x:c>
      <x:c r="G19" s="9" t="str">
        <x:v>1. Open manager review page.
2. Navigate to the date where agent plan type is Office Work.
3. Observe the calendar card and selected-day context.</x:v>
      </x:c>
      <x:c r="H19" s="9" t="str">
        <x:v>Manager calendar explicitly shows Office Work instead of customer pills or blank state for that day.</x:v>
      </x:c>
      <x:c r="I19" s="56" t="str">
        <x:v>Medium</x:v>
      </x:c>
      <x:c r="J19" s="9" t="str">
        <x:v>UI/Conditional</x:v>
      </x:c>
      <x:c r="K19" s="40" t="str">
        <x:v>Not Run</x:v>
      </x:c>
      <x:c r="L19" s="60" t="str">
        <x:v>IU30-724</x:v>
      </x:c>
      <x:c r="M19" s="32" t="str"/>
    </x:row>
    <x:row r="20" ht="40.5" customHeight="1">
      <x:c r="A20" s="29" t="str">
        <x:v>VM-019</x:v>
      </x:c>
      <x:c r="B20" s="9" t="str">
        <x:v>Conditional Fields</x:v>
      </x:c>
      <x:c r="C20" s="9" t="str">
        <x:v>Agent</x:v>
      </x:c>
      <x:c r="D20" s="9" t="str">
        <x:v>Comment / Plan Modal Field Logic</x:v>
      </x:c>
      <x:c r="E20" s="9" t="str">
        <x:v>Before 9:30 AM and minimum visits less than 5.</x:v>
      </x:c>
      <x:c r="F20" s="9" t="str">
        <x:v>System is set before 9:30 AM. Minimum visit threshold configured below 5.</x:v>
      </x:c>
      <x:c r="G20" s="9" t="str">
        <x:v>1. Open planning modal.
2. Observe the reason/deviation helper fields.</x:v>
      </x:c>
      <x:c r="H20" s="9" t="str">
        <x:v>Minimum Count field is shown. General field is not shown unless separately required by the final design.</x:v>
      </x:c>
      <x:c r="I20" s="56" t="str">
        <x:v>Medium</x:v>
      </x:c>
      <x:c r="J20" s="9" t="str">
        <x:v>UI/Conditional</x:v>
      </x:c>
      <x:c r="K20" s="40" t="str">
        <x:v>Not Run</x:v>
      </x:c>
      <x:c r="L20" s="60" t="str">
        <x:v>IU30-724</x:v>
      </x:c>
      <x:c r="M20" s="32" t="str"/>
    </x:row>
    <x:row r="21" ht="40.5" customHeight="1">
      <x:c r="A21" s="29" t="str">
        <x:v>VM-020</x:v>
      </x:c>
      <x:c r="B21" s="9" t="str">
        <x:v>Conditional Fields</x:v>
      </x:c>
      <x:c r="C21" s="9" t="str">
        <x:v>Agent</x:v>
      </x:c>
      <x:c r="D21" s="9" t="str">
        <x:v>Comment / Plan Modal Field Logic</x:v>
      </x:c>
      <x:c r="E21" s="9" t="str">
        <x:v>Before 9:30 AM and minimum visits equals 5.</x:v>
      </x:c>
      <x:c r="F21" s="9" t="str">
        <x:v>System is set before 9:30 AM. Minimum visit threshold configured as 5.</x:v>
      </x:c>
      <x:c r="G21" s="9" t="str">
        <x:v>1. Open planning modal.
2. Observe conditional fields.</x:v>
      </x:c>
      <x:c r="H21" s="9" t="str">
        <x:v>General field is shown and minimum-count specific prompt is hidden for this configuration.</x:v>
      </x:c>
      <x:c r="I21" s="56" t="str">
        <x:v>Medium</x:v>
      </x:c>
      <x:c r="J21" s="9" t="str">
        <x:v>UI/Conditional</x:v>
      </x:c>
      <x:c r="K21" s="40" t="str">
        <x:v>Not Run</x:v>
      </x:c>
      <x:c r="L21" s="60" t="str">
        <x:v>IU30-724</x:v>
      </x:c>
      <x:c r="M21" s="32" t="str"/>
    </x:row>
    <x:row r="22" ht="40.5" customHeight="1">
      <x:c r="A22" s="29" t="str">
        <x:v>VM-021</x:v>
      </x:c>
      <x:c r="B22" s="9" t="str">
        <x:v>Conditional Fields</x:v>
      </x:c>
      <x:c r="C22" s="9" t="str">
        <x:v>Agent</x:v>
      </x:c>
      <x:c r="D22" s="9" t="str">
        <x:v>Comment / Plan Modal Field Logic</x:v>
      </x:c>
      <x:c r="E22" s="9" t="str">
        <x:v>After 9:30 AM and minimum visits less than 5.</x:v>
      </x:c>
      <x:c r="F22" s="9" t="str">
        <x:v>System is set after 9:30 AM. Minimum visit threshold configured below 5.</x:v>
      </x:c>
      <x:c r="G22" s="9" t="str">
        <x:v>1. Open planning modal.
2. Observe conditional fields.</x:v>
      </x:c>
      <x:c r="H22" s="9" t="str">
        <x:v>Late Submission and Minimum Count fields are both shown.</x:v>
      </x:c>
      <x:c r="I22" s="56" t="str">
        <x:v>Medium</x:v>
      </x:c>
      <x:c r="J22" s="9" t="str">
        <x:v>UI/Conditional</x:v>
      </x:c>
      <x:c r="K22" s="40" t="str">
        <x:v>Not Run</x:v>
      </x:c>
      <x:c r="L22" s="60" t="str">
        <x:v>IU30-724</x:v>
      </x:c>
      <x:c r="M22" s="32" t="str"/>
    </x:row>
    <x:row r="23" ht="40.5" customHeight="1">
      <x:c r="A23" s="29" t="str">
        <x:v>VM-022</x:v>
      </x:c>
      <x:c r="B23" s="9" t="str">
        <x:v>Conditional Fields</x:v>
      </x:c>
      <x:c r="C23" s="9" t="str">
        <x:v>Agent</x:v>
      </x:c>
      <x:c r="D23" s="9" t="str">
        <x:v>Comment / Plan Modal Field Logic</x:v>
      </x:c>
      <x:c r="E23" s="9" t="str">
        <x:v>After 9:30 AM and minimum visits equals 5.</x:v>
      </x:c>
      <x:c r="F23" s="9" t="str">
        <x:v>System is set after 9:30 AM. Minimum visit threshold configured as 5.</x:v>
      </x:c>
      <x:c r="G23" s="9" t="str">
        <x:v>1. Open planning modal.
2. Observe conditional fields.</x:v>
      </x:c>
      <x:c r="H23" s="9" t="str">
        <x:v>Late Submission field is shown and Minimum Count field stays hidden.</x:v>
      </x:c>
      <x:c r="I23" s="56" t="str">
        <x:v>Medium</x:v>
      </x:c>
      <x:c r="J23" s="9" t="str">
        <x:v>UI/Conditional</x:v>
      </x:c>
      <x:c r="K23" s="40" t="str">
        <x:v>Not Run</x:v>
      </x:c>
      <x:c r="L23" s="60" t="str">
        <x:v>IU30-724</x:v>
      </x:c>
      <x:c r="M23" s="32" t="str"/>
    </x:row>
    <x:row r="24" ht="40.5" customHeight="1">
      <x:c r="A24" s="29" t="str">
        <x:v>VM-023</x:v>
      </x:c>
      <x:c r="B24" s="9" t="str">
        <x:v>Remarks &amp; Trail</x:v>
      </x:c>
      <x:c r="C24" s="9" t="str">
        <x:v>Manager</x:v>
      </x:c>
      <x:c r="D24" s="9" t="str">
        <x:v>Objective / Centralized Remarks &amp; Activity Tracking</x:v>
      </x:c>
      <x:c r="E24" s="9" t="str">
        <x:v>Deviation decision appends full history to activity trail.</x:v>
      </x:c>
      <x:c r="F24" s="9" t="str">
        <x:v>A deviation case exists for the selected agent/date.</x:v>
      </x:c>
      <x:c r="G24" s="9" t="str">
        <x:v>1. Open manager review.
2. Add a remark.
3. Approve or reject the deviation.
4. Reopen the same context.</x:v>
      </x:c>
      <x:c r="H24" s="9" t="str">
        <x:v>Remarks and approval history persist in the activity trail with time sequence preserved.</x:v>
      </x:c>
      <x:c r="I24" s="54" t="str">
        <x:v>High</x:v>
      </x:c>
      <x:c r="J24" s="55" t="str">
        <x:v>Regression</x:v>
      </x:c>
      <x:c r="K24" s="40" t="str">
        <x:v>Not Run</x:v>
      </x:c>
      <x:c r="L24" s="60" t="str">
        <x:v>IU30-724</x:v>
      </x:c>
      <x:c r="M24" s="32" t="str"/>
    </x:row>
    <x:row r="25" ht="40.5" customHeight="1">
      <x:c r="A25" s="29" t="str">
        <x:v>VM-024</x:v>
      </x:c>
      <x:c r="B25" s="9" t="str">
        <x:v>Attendance Marking</x:v>
      </x:c>
      <x:c r="C25" s="9" t="str">
        <x:v>Manager</x:v>
      </x:c>
      <x:c r="D25" s="9" t="str">
        <x:v>Auto Approval &amp; Absent Marking / Manager Approval Follow-up</x:v>
      </x:c>
      <x:c r="E25" s="9" t="str">
        <x:v>Manager approves a deviation caused by saved-only or non-planned visit behavior.</x:v>
      </x:c>
      <x:c r="F25" s="9" t="str">
        <x:v>Deviation exists and is pending manager action.</x:v>
      </x:c>
      <x:c r="G25" s="9" t="str">
        <x:v>1. Open the pending deviation in manager review.
2. Approve the case.
3. Check final plan state and attendance indication.</x:v>
      </x:c>
      <x:c r="H25" s="9" t="str">
        <x:v>Deviation moves to approved state and downstream attendance/result state updates as per approved workflow.</x:v>
      </x:c>
      <x:c r="I25" s="56" t="str">
        <x:v>Medium</x:v>
      </x:c>
      <x:c r="J25" s="9" t="str">
        <x:v>Functional</x:v>
      </x:c>
      <x:c r="K25" s="40" t="str">
        <x:v>Not Run</x:v>
      </x:c>
      <x:c r="L25" s="60" t="str">
        <x:v>IU30-724</x:v>
      </x:c>
      <x:c r="M25" s="32" t="str"/>
    </x:row>
    <x:row r="26" ht="40.5" customHeight="1">
      <x:c r="A26" s="29" t="str">
        <x:v>VM-025</x:v>
      </x:c>
      <x:c r="B26" s="9" t="str">
        <x:v>Attendance Marking</x:v>
      </x:c>
      <x:c r="C26" s="9" t="str">
        <x:v>Manager</x:v>
      </x:c>
      <x:c r="D26" s="9" t="str">
        <x:v>Auto Approval &amp; Absent Marking / Manager Rejection Follow-up</x:v>
      </x:c>
      <x:c r="E26" s="9" t="str">
        <x:v>Manager rejects a deviation.</x:v>
      </x:c>
      <x:c r="F26" s="9" t="str">
        <x:v>Deviation exists and is pending manager decision.</x:v>
      </x:c>
      <x:c r="G26" s="9" t="str">
        <x:v>1. Open the deviation.
2. Reject it with remarks.
3. Revisit the date and attendance outputs.</x:v>
      </x:c>
      <x:c r="H26" s="9" t="str">
        <x:v>Rejected state is visible, remarks are retained, and the agent remains in the non-approved outcome until corrected.</x:v>
      </x:c>
      <x:c r="I26" s="56" t="str">
        <x:v>Medium</x:v>
      </x:c>
      <x:c r="J26" s="54" t="str">
        <x:v>Negative</x:v>
      </x:c>
      <x:c r="K26" s="40" t="str">
        <x:v>Not Run</x:v>
      </x:c>
      <x:c r="L26" s="60" t="str">
        <x:v>IU30-724</x:v>
      </x:c>
      <x:c r="M26" s="32" t="str"/>
    </x:row>
    <x:row r="27" ht="40.5" customHeight="1">
      <x:c r="A27" s="29" t="str">
        <x:v>VM-026</x:v>
      </x:c>
      <x:c r="B27" s="9" t="str">
        <x:v>Role Visibility</x:v>
      </x:c>
      <x:c r="C27" s="9" t="str">
        <x:v>Manager</x:v>
      </x:c>
      <x:c r="D27" s="9" t="str">
        <x:v>Objective / Hierarchy-Based Visibility</x:v>
      </x:c>
      <x:c r="E27" s="9" t="str">
        <x:v>Manager only sees plans for reporting agents.</x:v>
      </x:c>
      <x:c r="F27" s="9" t="str">
        <x:v>Manager account is mapped to a defined reporting hierarchy.</x:v>
      </x:c>
      <x:c r="G27" s="9" t="str">
        <x:v>1. Open manager planner/review page.
2. Search for agents in and outside the reporting hierarchy.
3. Review calendar and plan access.</x:v>
      </x:c>
      <x:c r="H27" s="9" t="str">
        <x:v>Manager can view or review only in-scope reporting agents. Out-of-scope agents are hidden or inaccessible.</x:v>
      </x:c>
      <x:c r="I27" s="54" t="str">
        <x:v>High</x:v>
      </x:c>
      <x:c r="J27" s="57" t="str">
        <x:v>Role-based</x:v>
      </x:c>
      <x:c r="K27" s="40" t="str">
        <x:v>Not Run</x:v>
      </x:c>
      <x:c r="L27" s="60" t="str">
        <x:v>IU30-724</x:v>
      </x:c>
      <x:c r="M27" s="32" t="str"/>
    </x:row>
    <x:row r="28" ht="40.5" customHeight="1">
      <x:c r="A28" s="29" t="str">
        <x:v>VM-027</x:v>
      </x:c>
      <x:c r="B28" s="9" t="str">
        <x:v>Role Visibility</x:v>
      </x:c>
      <x:c r="C28" s="9" t="str">
        <x:v>Supervisor</x:v>
      </x:c>
      <x:c r="D28" s="9" t="str">
        <x:v>Objective / Approval Controls</x:v>
      </x:c>
      <x:c r="E28" s="9" t="str">
        <x:v>Supervisor or next-level approver sees the appropriate plan state and action controls only for escalated cases.</x:v>
      </x:c>
      <x:c r="F28" s="9" t="str">
        <x:v>Escalated or submitted plan exists and supervisor account is available.</x:v>
      </x:c>
      <x:c r="G28" s="9" t="str">
        <x:v>1. Sign in as supervisor.
2. Open the relevant visit planning/review screens.
3. Observe action controls for escalated plans.</x:v>
      </x:c>
      <x:c r="H28" s="9" t="str">
        <x:v>Supervisor sees only the controls intended for approval visibility and cannot use agent-only planning controls.</x:v>
      </x:c>
      <x:c r="I28" s="56" t="str">
        <x:v>Medium</x:v>
      </x:c>
      <x:c r="J28" s="57" t="str">
        <x:v>Role-based</x:v>
      </x:c>
      <x:c r="K28" s="40" t="str">
        <x:v>Not Run</x:v>
      </x:c>
      <x:c r="L28" s="60" t="str">
        <x:v>IU30-724</x:v>
      </x:c>
      <x:c r="M28" s="32" t="str"/>
    </x:row>
    <x:row r="29" ht="40.5" customHeight="1">
      <x:c r="A29" s="29" t="str">
        <x:v>VM-028</x:v>
      </x:c>
      <x:c r="B29" s="9" t="str">
        <x:v>Calling Flow</x:v>
      </x:c>
      <x:c r="C29" s="9" t="str">
        <x:v>Agent</x:v>
      </x:c>
      <x:c r="D29" s="9" t="str">
        <x:v>Objective / Calling-Based Planning Workflows</x:v>
      </x:c>
      <x:c r="E29" s="9" t="str">
        <x:v>Calling-only plan can be saved and submitted with the required customer selection and state indicators.</x:v>
      </x:c>
      <x:c r="F29" s="9" t="str">
        <x:v>Calling workflow is enabled for the user and valid customer data is available.</x:v>
      </x:c>
      <x:c r="G29" s="9" t="str">
        <x:v>1. Open planning modal.
2. Select Calling.
3. Add at least one customer.
4. Save and submit the plan.</x:v>
      </x:c>
      <x:c r="H29" s="9" t="str">
        <x:v>Calling plan follows the correct save and submit flow, appears in planner state correctly, and passes customer-selection validation.</x:v>
      </x:c>
      <x:c r="I29" s="56" t="str">
        <x:v>Medium</x:v>
      </x:c>
      <x:c r="J29" s="9" t="str">
        <x:v>Functional</x:v>
      </x:c>
      <x:c r="K29" s="40" t="str">
        <x:v>Not Run</x:v>
      </x:c>
      <x:c r="L29" s="60" t="str">
        <x:v>IU30-724</x:v>
      </x:c>
      <x:c r="M29" s="32" t="str"/>
    </x:row>
    <x:row r="30" ht="40.5" customHeight="1">
      <x:c r="A30" s="29" t="str">
        <x:v>VM-029</x:v>
      </x:c>
      <x:c r="B30" s="9" t="str">
        <x:v>Manager Suggestions</x:v>
      </x:c>
      <x:c r="C30" s="9" t="str">
        <x:v>Manager</x:v>
      </x:c>
      <x:c r="D30" s="9" t="str">
        <x:v>Objective / Manager Suggestion Workflows</x:v>
      </x:c>
      <x:c r="E30" s="9" t="str">
        <x:v>Manager-suggested customers are clearly marked in agent-side visibility and trail.</x:v>
      </x:c>
      <x:c r="F30" s="9" t="str">
        <x:v>Manager has access to the review popup for an agent/date.</x:v>
      </x:c>
      <x:c r="G30" s="9" t="str">
        <x:v>1. Add one suggested customer in manager review.
2. Save or submit the review.
3. Open the corresponding agent page.</x:v>
      </x:c>
      <x:c r="H30" s="9" t="str">
        <x:v>Suggested customer is visible with manager-suggested context and the activity trail labels it as a manager suggestion.</x:v>
      </x:c>
      <x:c r="I30" s="54" t="str">
        <x:v>High</x:v>
      </x:c>
      <x:c r="J30" s="55" t="str">
        <x:v>Regression</x:v>
      </x:c>
      <x:c r="K30" s="40" t="str">
        <x:v>Not Run</x:v>
      </x:c>
      <x:c r="L30" s="60" t="str">
        <x:v>IU30-724</x:v>
      </x:c>
      <x:c r="M30" s="32" t="str"/>
    </x:row>
    <x:row r="31" ht="40.5" customHeight="1">
      <x:c r="A31" s="30" t="str">
        <x:v>VM-030</x:v>
      </x:c>
      <x:c r="B31" s="27" t="str">
        <x:v>Remarks &amp; Trail</x:v>
      </x:c>
      <x:c r="C31" s="27" t="str">
        <x:v>Agent</x:v>
      </x:c>
      <x:c r="D31" s="27" t="str">
        <x:v>Objective / Centralized Remarks &amp; Activity Tracking</x:v>
      </x:c>
      <x:c r="E31" s="27" t="str">
        <x:v>Agent remark entered during planning persists and remains scoped to the correct date context.</x:v>
      </x:c>
      <x:c r="F31" s="27" t="str">
        <x:v>Agent has opened a planning context for a future date.</x:v>
      </x:c>
      <x:c r="G31" s="27" t="str">
        <x:v>1. Enter a planning remark.
2. Save the plan.
3. Reload the page and return to the same date.
4. Switch to a different date.</x:v>
      </x:c>
      <x:c r="H31" s="27" t="str">
        <x:v>Remark persists for the original date, is not leaked to another date, and can be reviewed in the activity context.</x:v>
      </x:c>
      <x:c r="I31" s="58" t="str">
        <x:v>Medium</x:v>
      </x:c>
      <x:c r="J31" s="59" t="str">
        <x:v>Regression</x:v>
      </x:c>
      <x:c r="K31" s="42" t="str">
        <x:v>Not Run</x:v>
      </x:c>
      <x:c r="L31" s="61" t="str">
        <x:v>IU30-724</x:v>
      </x:c>
      <x:c r="M31" s="33" t="str"/>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1.109999656677246" hidden="0" customWidth="1"/>
    <x:col min="2" max="2" width="35.560001373291016" hidden="0" customWidth="1"/>
    <x:col min="3" max="3" width="25.559999465942383" hidden="0" customWidth="1"/>
    <x:col min="4" max="4" width="24.440000534057617" hidden="0" customWidth="1"/>
  </x:cols>
  <x:sheetData>
    <x:row r="1">
      <x:c r="A1" s="4" t="str">
        <x:v>Requirement Coverage Matrix</x:v>
      </x:c>
      <x:c r="B1" s="4"/>
      <x:c r="C1" s="4"/>
      <x:c r="D1" s="4"/>
    </x:row>
    <x:row r="3">
      <x:c r="A3" s="52" t="str">
        <x:v>Requirement ID</x:v>
      </x:c>
      <x:c r="B3" s="51" t="str">
        <x:v>Requirement Summary</x:v>
      </x:c>
      <x:c r="C3" s="51" t="str">
        <x:v>Covered Test Cases</x:v>
      </x:c>
      <x:c r="D3" s="53" t="str">
        <x:v>Coverage Notes</x:v>
      </x:c>
    </x:row>
    <x:row r="4">
      <x:c r="A4" s="29" t="str">
        <x:v>R1</x:v>
      </x:c>
      <x:c r="B4" s="9" t="str">
        <x:v>Save button removal after successful post-cut-off save/submit</x:v>
      </x:c>
      <x:c r="C4" s="9" t="str">
        <x:v>VM-001, VM-002</x:v>
      </x:c>
      <x:c r="D4" s="32" t="str">
        <x:v>Multiple scenarios mapped for regression confidence.</x:v>
      </x:c>
    </x:row>
    <x:row r="5">
      <x:c r="A5" s="29" t="str">
        <x:v>R2</x:v>
      </x:c>
      <x:c r="B5" s="9" t="str">
        <x:v>Pre-cut-off editing should not trigger deviation</x:v>
      </x:c>
      <x:c r="C5" s="9" t="str">
        <x:v>VM-003, VM-004</x:v>
      </x:c>
      <x:c r="D5" s="32" t="str">
        <x:v>Multiple scenarios mapped for regression confidence.</x:v>
      </x:c>
    </x:row>
    <x:row r="6">
      <x:c r="A6" s="29" t="str">
        <x:v>R3</x:v>
      </x:c>
      <x:c r="B6" s="9" t="str">
        <x:v>Deviation when count drops below configured minimum</x:v>
      </x:c>
      <x:c r="C6" s="9" t="str">
        <x:v>VM-005, VM-006, VM-007</x:v>
      </x:c>
      <x:c r="D6" s="32" t="str">
        <x:v>Multiple scenarios mapped for regression confidence.</x:v>
      </x:c>
    </x:row>
    <x:row r="7">
      <x:c r="A7" s="29" t="str">
        <x:v>R4</x:v>
      </x:c>
      <x:c r="B7" s="9" t="str">
        <x:v>Deviation when activity type changes after cut-off</x:v>
      </x:c>
      <x:c r="C7" s="9" t="str">
        <x:v>VM-008</x:v>
      </x:c>
      <x:c r="D7" s="32" t="str">
        <x:v>Single focused scenario mapped.</x:v>
      </x:c>
    </x:row>
    <x:row r="8">
      <x:c r="A8" s="29" t="str">
        <x:v>R5</x:v>
      </x:c>
      <x:c r="B8" s="9" t="str">
        <x:v>Auto approval at or above configured minimum</x:v>
      </x:c>
      <x:c r="C8" s="9" t="str">
        <x:v>VM-009, VM-010</x:v>
      </x:c>
      <x:c r="D8" s="32" t="str">
        <x:v>Multiple scenarios mapped for regression confidence.</x:v>
      </x:c>
    </x:row>
    <x:row r="9">
      <x:c r="A9" s="29" t="str">
        <x:v>R6</x:v>
      </x:c>
      <x:c r="B9" s="9" t="str">
        <x:v>Deviation when submitted below configured minimum</x:v>
      </x:c>
      <x:c r="C9" s="9" t="str">
        <x:v>VM-011</x:v>
      </x:c>
      <x:c r="D9" s="32" t="str">
        <x:v>Single focused scenario mapped.</x:v>
      </x:c>
    </x:row>
    <x:row r="10">
      <x:c r="A10" s="29" t="str">
        <x:v>R7</x:v>
      </x:c>
      <x:c r="B10" s="9" t="str">
        <x:v>Saved but not submitted plan should move to deviation/absent handling</x:v>
      </x:c>
      <x:c r="C10" s="9" t="str">
        <x:v>VM-012</x:v>
      </x:c>
      <x:c r="D10" s="32" t="str">
        <x:v>Single focused scenario mapped.</x:v>
      </x:c>
    </x:row>
    <x:row r="11">
      <x:c r="A11" s="29" t="str">
        <x:v>R8</x:v>
      </x:c>
      <x:c r="B11" s="9" t="str">
        <x:v>Non-planned customer visits should move to deviation</x:v>
      </x:c>
      <x:c r="C11" s="9" t="str">
        <x:v>VM-013</x:v>
      </x:c>
      <x:c r="D11" s="32" t="str">
        <x:v>Single focused scenario mapped.</x:v>
      </x:c>
    </x:row>
    <x:row r="12">
      <x:c r="A12" s="29" t="str">
        <x:v>R9</x:v>
      </x:c>
      <x:c r="B12" s="9" t="str">
        <x:v>Calling status requires at least one customer selection</x:v>
      </x:c>
      <x:c r="C12" s="9" t="str">
        <x:v>VM-014, VM-028</x:v>
      </x:c>
      <x:c r="D12" s="32" t="str">
        <x:v>Multiple scenarios mapped for regression confidence.</x:v>
      </x:c>
    </x:row>
    <x:row r="13">
      <x:c r="A13" s="29" t="str">
        <x:v>R10</x:v>
      </x:c>
      <x:c r="B13" s="9" t="str">
        <x:v>Suggested list excludes customers already present in current-plan review list</x:v>
      </x:c>
      <x:c r="C13" s="9" t="str">
        <x:v>VM-015</x:v>
      </x:c>
      <x:c r="D13" s="32" t="str">
        <x:v>Single focused scenario mapped.</x:v>
      </x:c>
    </x:row>
    <x:row r="14">
      <x:c r="A14" s="29" t="str">
        <x:v>R11</x:v>
      </x:c>
      <x:c r="B14" s="9" t="str">
        <x:v>Tag Along actions should persist and surface in trail/indicators</x:v>
      </x:c>
      <x:c r="C14" s="9" t="str">
        <x:v>VM-016, VM-017</x:v>
      </x:c>
      <x:c r="D14" s="32" t="str">
        <x:v>Multiple scenarios mapped for regression confidence.</x:v>
      </x:c>
    </x:row>
    <x:row r="15">
      <x:c r="A15" s="29" t="str">
        <x:v>R12</x:v>
      </x:c>
      <x:c r="B15" s="9" t="str">
        <x:v>Office Work should be visible in manager calendar</x:v>
      </x:c>
      <x:c r="C15" s="9" t="str">
        <x:v>VM-018</x:v>
      </x:c>
      <x:c r="D15" s="32" t="str">
        <x:v>Single focused scenario mapped.</x:v>
      </x:c>
    </x:row>
    <x:row r="16">
      <x:c r="A16" s="29" t="str">
        <x:v>R13</x:v>
      </x:c>
      <x:c r="B16" s="9" t="str">
        <x:v>Field logic before 9:30 and minimum below 5</x:v>
      </x:c>
      <x:c r="C16" s="9" t="str">
        <x:v>VM-019</x:v>
      </x:c>
      <x:c r="D16" s="32" t="str">
        <x:v>Single focused scenario mapped.</x:v>
      </x:c>
    </x:row>
    <x:row r="17">
      <x:c r="A17" s="29" t="str">
        <x:v>R14</x:v>
      </x:c>
      <x:c r="B17" s="9" t="str">
        <x:v>Field logic before 9:30 and minimum equals 5</x:v>
      </x:c>
      <x:c r="C17" s="9" t="str">
        <x:v>VM-020</x:v>
      </x:c>
      <x:c r="D17" s="32" t="str">
        <x:v>Single focused scenario mapped.</x:v>
      </x:c>
    </x:row>
    <x:row r="18">
      <x:c r="A18" s="29" t="str">
        <x:v>R15</x:v>
      </x:c>
      <x:c r="B18" s="9" t="str">
        <x:v>Field logic after 9:30 and minimum below 5</x:v>
      </x:c>
      <x:c r="C18" s="9" t="str">
        <x:v>VM-021</x:v>
      </x:c>
      <x:c r="D18" s="32" t="str">
        <x:v>Single focused scenario mapped.</x:v>
      </x:c>
    </x:row>
    <x:row r="19">
      <x:c r="A19" s="29" t="str">
        <x:v>R16</x:v>
      </x:c>
      <x:c r="B19" s="9" t="str">
        <x:v>Field logic after 9:30 and minimum equals 5</x:v>
      </x:c>
      <x:c r="C19" s="9" t="str">
        <x:v>VM-022</x:v>
      </x:c>
      <x:c r="D19" s="32" t="str">
        <x:v>Single focused scenario mapped.</x:v>
      </x:c>
    </x:row>
    <x:row r="20">
      <x:c r="A20" s="29" t="str">
        <x:v>R17</x:v>
      </x:c>
      <x:c r="B20" s="9" t="str">
        <x:v>Centralized remarks and decision trail persistence</x:v>
      </x:c>
      <x:c r="C20" s="9" t="str">
        <x:v>VM-023, VM-030</x:v>
      </x:c>
      <x:c r="D20" s="32" t="str">
        <x:v>Multiple scenarios mapped for regression confidence.</x:v>
      </x:c>
    </x:row>
    <x:row r="21">
      <x:c r="A21" s="29" t="str">
        <x:v>R18</x:v>
      </x:c>
      <x:c r="B21" s="9" t="str">
        <x:v>Manager approval and rejection outcomes</x:v>
      </x:c>
      <x:c r="C21" s="9" t="str">
        <x:v>VM-024, VM-025</x:v>
      </x:c>
      <x:c r="D21" s="32" t="str">
        <x:v>Multiple scenarios mapped for regression confidence.</x:v>
      </x:c>
    </x:row>
    <x:row r="22">
      <x:c r="A22" s="29" t="str">
        <x:v>R19</x:v>
      </x:c>
      <x:c r="B22" s="9" t="str">
        <x:v>Hierarchy-based visibility and approval controls</x:v>
      </x:c>
      <x:c r="C22" s="9" t="str">
        <x:v>VM-026, VM-027</x:v>
      </x:c>
      <x:c r="D22" s="32" t="str">
        <x:v>Multiple scenarios mapped for regression confidence.</x:v>
      </x:c>
    </x:row>
    <x:row r="23">
      <x:c r="A23" s="30" t="str">
        <x:v>R20</x:v>
      </x:c>
      <x:c r="B23" s="27" t="str">
        <x:v>Manager suggested customer visibility on agent side</x:v>
      </x:c>
      <x:c r="C23" s="27" t="str">
        <x:v>VM-029</x:v>
      </x:c>
      <x:c r="D23" s="33" t="str">
        <x:v>Single focused scenario mapped.</x:v>
      </x:c>
    </x:row>
  </x:sheetData>
  <x:mergeCells>
    <x:mergeCell ref="A1:D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0.5600004196167" hidden="0" customWidth="1"/>
    <x:col min="2" max="2" width="31.110000610351562" hidden="0" customWidth="1"/>
    <x:col min="3" max="3" width="33.33000183105469" hidden="0" customWidth="1"/>
    <x:col min="4" max="4" width="21.110000610351562" hidden="0" customWidth="1"/>
  </x:cols>
  <x:sheetData>
    <x:row r="1">
      <x:c r="A1" s="4" t="str">
        <x:v>Edge Cases and Execution Risks</x:v>
      </x:c>
      <x:c r="B1" s="4"/>
      <x:c r="C1" s="4"/>
      <x:c r="D1" s="4"/>
    </x:row>
    <x:row r="3">
      <x:c r="A3" s="52" t="str">
        <x:v>Edge Case ID</x:v>
      </x:c>
      <x:c r="B3" s="51" t="str">
        <x:v>Scenario</x:v>
      </x:c>
      <x:c r="C3" s="51" t="str">
        <x:v>Expected Handling</x:v>
      </x:c>
      <x:c r="D3" s="53" t="str">
        <x:v>Related Test Cases</x:v>
      </x:c>
    </x:row>
    <x:row r="4">
      <x:c r="A4" s="29" t="str">
        <x:v>EC-01</x:v>
      </x:c>
      <x:c r="B4" s="9" t="str">
        <x:v>Cut-off boundary at exactly 9:30 AM or configured threshold</x:v>
      </x:c>
      <x:c r="C4" s="9" t="str">
        <x:v>State flips cleanly with no duplicate deviation or field flicker.</x:v>
      </x:c>
      <x:c r="D4" s="32" t="str">
        <x:v>VM-003, VM-004, VM-019 to VM-022</x:v>
      </x:c>
    </x:row>
    <x:row r="5">
      <x:c r="A5" s="29" t="str">
        <x:v>EC-02</x:v>
      </x:c>
      <x:c r="B5" s="9" t="str">
        <x:v>Plan count oscillates around minimum across multiple saves</x:v>
      </x:c>
      <x:c r="C5" s="9" t="str">
        <x:v>First deviation-causing action is retained in trail and final state remains logically consistent.</x:v>
      </x:c>
      <x:c r="D5" s="32" t="str">
        <x:v>VM-005, VM-006</x:v>
      </x:c>
    </x:row>
    <x:row r="6">
      <x:c r="A6" s="29" t="str">
        <x:v>EC-03</x:v>
      </x:c>
      <x:c r="B6" s="9" t="str">
        <x:v>Same customer appears in planned list and manager suggestions due to stale data</x:v>
      </x:c>
      <x:c r="C6" s="9" t="str">
        <x:v>UI prevents duplicate addition and suggestion list stays de-duplicated.</x:v>
      </x:c>
      <x:c r="D6" s="32" t="str">
        <x:v>VM-015, VM-029</x:v>
      </x:c>
    </x:row>
    <x:row r="7">
      <x:c r="A7" s="29" t="str">
        <x:v>EC-04</x:v>
      </x:c>
      <x:c r="B7" s="9" t="str">
        <x:v>Agent submits exactly minimum count, then later actual visits include one unplanned customer</x:v>
      </x:c>
      <x:c r="C7" s="9" t="str">
        <x:v>Deviation is still generated from activity mismatch.</x:v>
      </x:c>
      <x:c r="D7" s="32" t="str">
        <x:v>VM-009, VM-013</x:v>
      </x:c>
    </x:row>
    <x:row r="8">
      <x:c r="A8" s="29" t="str">
        <x:v>EC-05</x:v>
      </x:c>
      <x:c r="B8" s="9" t="str">
        <x:v>Calling workflow with customer deselected just before submit</x:v>
      </x:c>
      <x:c r="C8" s="9" t="str">
        <x:v>Validation blocks submission and retains user context.</x:v>
      </x:c>
      <x:c r="D8" s="32" t="str">
        <x:v>VM-014, VM-028</x:v>
      </x:c>
    </x:row>
    <x:row r="9">
      <x:c r="A9" s="29" t="str">
        <x:v>EC-06</x:v>
      </x:c>
      <x:c r="B9" s="9" t="str">
        <x:v>Manager applies tag along to multiple customers on the same date</x:v>
      </x:c>
      <x:c r="C9" s="9" t="str">
        <x:v>All allowed selections persist consistently and the indicators match saved state.</x:v>
      </x:c>
      <x:c r="D9" s="32" t="str">
        <x:v>VM-016, VM-017</x:v>
      </x:c>
    </x:row>
    <x:row r="10">
      <x:c r="A10" s="29" t="str">
        <x:v>EC-07</x:v>
      </x:c>
      <x:c r="B10" s="9" t="str">
        <x:v>Office Work day later changed to Visit after cut-off</x:v>
      </x:c>
      <x:c r="C10" s="9" t="str">
        <x:v>Deviation and trail reflect both activity types in sequence.</x:v>
      </x:c>
      <x:c r="D10" s="32" t="str">
        <x:v>VM-008, VM-018</x:v>
      </x:c>
    </x:row>
    <x:row r="11">
      <x:c r="A11" s="29" t="str">
        <x:v>EC-08</x:v>
      </x:c>
      <x:c r="B11" s="9" t="str">
        <x:v>Manager rejects deviation after agent added remarks and suggestions</x:v>
      </x:c>
      <x:c r="C11" s="9" t="str">
        <x:v>Remarks, suggestions, and rejection reason all remain auditable.</x:v>
      </x:c>
      <x:c r="D11" s="32" t="str">
        <x:v>VM-023, VM-025, VM-029</x:v>
      </x:c>
    </x:row>
    <x:row r="12">
      <x:c r="A12" s="29" t="str">
        <x:v>EC-09</x:v>
      </x:c>
      <x:c r="B12" s="9" t="str">
        <x:v>User reloads mid-review with unsaved changes</x:v>
      </x:c>
      <x:c r="C12" s="9" t="str">
        <x:v>Saved state is preserved, unsaved state is not falsely promoted to submitted.</x:v>
      </x:c>
      <x:c r="D12" s="32" t="str">
        <x:v>VM-012, VM-030</x:v>
      </x:c>
    </x:row>
    <x:row r="13">
      <x:c r="A13" s="30" t="str">
        <x:v>EC-10</x:v>
      </x:c>
      <x:c r="B13" s="27" t="str">
        <x:v>Out-of-scope agent is deep-linked directly into manager review URL</x:v>
      </x:c>
      <x:c r="C13" s="27" t="str">
        <x:v>Role gate prevents unauthorized access even when URL is forced manually.</x:v>
      </x:c>
      <x:c r="D13" s="33" t="str">
        <x:v>VM-026, VM-027</x:v>
      </x:c>
    </x:row>
  </x:sheetData>
  <x:mergeCells>
    <x:mergeCell ref="A1:D1"/>
  </x:mergeCells>
  <x:pageMargins left="0.7" right="0.7" top="0.75" bottom="0.75" header="0.3" footer="0.3"/>
</x:worksheet>
</file>